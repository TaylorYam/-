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updateLinks="never" codeName="ThisWorkbook"/>
  <mc:AlternateContent xmlns:mc="http://schemas.openxmlformats.org/markup-compatibility/2006">
    <mc:Choice Requires="x15">
      <x15ac:absPath xmlns:x15ac="http://schemas.microsoft.com/office/spreadsheetml/2010/11/ac" url="C:\特別約定事項專案\"/>
    </mc:Choice>
  </mc:AlternateContent>
  <xr:revisionPtr revIDLastSave="0" documentId="13_ncr:1_{66371883-E1EB-4070-AEA2-944163480477}" xr6:coauthVersionLast="47" xr6:coauthVersionMax="47" xr10:uidLastSave="{00000000-0000-0000-0000-000000000000}"/>
  <bookViews>
    <workbookView xWindow="-120" yWindow="-120" windowWidth="29040" windowHeight="15720" firstSheet="1" activeTab="2" xr2:uid="{14A093B0-7C1E-46F1-A44C-16B132B63C51}"/>
  </bookViews>
  <sheets>
    <sheet name="欄位" sheetId="1" r:id="rId1"/>
    <sheet name="Term" sheetId="3" r:id="rId2"/>
    <sheet name="起單回填" sheetId="10" r:id="rId3"/>
    <sheet name="Variable" sheetId="4" r:id="rId4"/>
    <sheet name="產品名稱" sheetId="5" r:id="rId5"/>
    <sheet name="境外結構型商品承作檢核表" sheetId="8" r:id="rId6"/>
    <sheet name="Underlying" sheetId="6" r:id="rId7"/>
    <sheet name="US Holidays" sheetId="9" r:id="rId8"/>
    <sheet name="工作表1" sheetId="11" r:id="rId9"/>
    <sheet name="起單回填規則" sheetId="12" r:id="rId10"/>
  </sheets>
  <functionGroups builtInGroupCount="19"/>
  <externalReferences>
    <externalReference r:id="rId11"/>
  </externalReferences>
  <definedNames>
    <definedName name="_xlnm._FilterDatabase" localSheetId="4" hidden="1">產品名稱!$F$8:$L$195</definedName>
    <definedName name="_xleta.ROUND" hidden="1" xlm="1">#NAME?</definedName>
    <definedName name="_xlpm.hasHK" hidden="1" xlm="1">#NAME?</definedName>
    <definedName name="_xlpm.hasJP" hidden="1" xlm="1">#NAME?</definedName>
    <definedName name="_xlpm.hasUS" hidden="1" xlm="1">#NAME?</definedName>
    <definedName name="_xlpm.marketCount" hidden="1" xlm="1">#NAME?</definedName>
    <definedName name="_xlpm.tag" hidden="1" xlm="1">#NAME?</definedName>
    <definedName name="Issue_date">#REF!</definedName>
    <definedName name="_xlnm.Print_Area" localSheetId="5">境外結構型商品承作檢核表!$A$1:$C$20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L76" i="5" l="1"/>
  <c r="L75" i="5"/>
  <c r="K76" i="5"/>
  <c r="L50" i="5"/>
  <c r="K50" i="5"/>
  <c r="L115" i="5"/>
  <c r="K115" i="5"/>
  <c r="L34" i="5"/>
  <c r="L33" i="5"/>
  <c r="K34" i="5"/>
  <c r="K33" i="5"/>
  <c r="C6" i="5" a="1"/>
  <c r="C6" i="5" s="1"/>
  <c r="L194" i="5" s="1"/>
  <c r="K195" i="5" l="1"/>
  <c r="K194" i="5"/>
  <c r="L195" i="5"/>
  <c r="L139" i="5"/>
  <c r="K139" i="5"/>
  <c r="L163" i="5"/>
  <c r="K163" i="5"/>
  <c r="L87" i="5"/>
  <c r="K87" i="5"/>
  <c r="L92" i="5" l="1"/>
  <c r="L91" i="5"/>
  <c r="K92" i="5"/>
  <c r="K91" i="5"/>
  <c r="L65" i="5"/>
  <c r="L63" i="5"/>
  <c r="K65" i="5"/>
  <c r="K51" i="5"/>
  <c r="L90" i="5"/>
  <c r="K90" i="5"/>
  <c r="O51" i="8" l="1"/>
  <c r="M51" i="8"/>
  <c r="K51" i="8"/>
  <c r="I51" i="8"/>
  <c r="O107" i="8"/>
  <c r="M107" i="8"/>
  <c r="K107" i="8"/>
  <c r="I107" i="8" l="1"/>
  <c r="L164" i="5" l="1"/>
  <c r="K164" i="5"/>
  <c r="L89" i="5"/>
  <c r="K89" i="5"/>
  <c r="L17" i="5"/>
  <c r="K17" i="5"/>
  <c r="L165" i="5" l="1"/>
  <c r="K165" i="5"/>
  <c r="L18" i="5"/>
  <c r="K18" i="5" l="1"/>
  <c r="L101" i="5"/>
  <c r="K101" i="5"/>
  <c r="L129" i="5"/>
  <c r="K129" i="5"/>
  <c r="L64" i="5"/>
  <c r="K64" i="5"/>
  <c r="L16" i="5" l="1"/>
  <c r="K16" i="5"/>
  <c r="L107" i="5" l="1"/>
  <c r="L106" i="5"/>
  <c r="K107" i="5"/>
  <c r="K106" i="5"/>
  <c r="L42" i="5"/>
  <c r="K42" i="5" l="1"/>
  <c r="L121" i="5"/>
  <c r="K121" i="5"/>
  <c r="L56" i="5"/>
  <c r="L55" i="5"/>
  <c r="K56" i="5"/>
  <c r="K55" i="5"/>
  <c r="L26" i="5"/>
  <c r="K26" i="5"/>
  <c r="L25" i="5" l="1"/>
  <c r="K25" i="5"/>
  <c r="L86" i="5"/>
  <c r="O106" i="8" l="1"/>
  <c r="O50" i="8" s="1"/>
  <c r="M106" i="8"/>
  <c r="M50" i="8" s="1"/>
  <c r="K106" i="8"/>
  <c r="K50" i="8" s="1"/>
  <c r="I106" i="8" l="1"/>
  <c r="I50" i="8" s="1"/>
  <c r="L188" i="5"/>
  <c r="K188" i="5"/>
  <c r="L166" i="5"/>
  <c r="K166" i="5"/>
  <c r="L162" i="5"/>
  <c r="K162" i="5"/>
  <c r="L152" i="5"/>
  <c r="K152" i="5"/>
  <c r="L151" i="5"/>
  <c r="K151" i="5"/>
  <c r="K116" i="5"/>
  <c r="K114" i="5"/>
  <c r="K100" i="5"/>
  <c r="L88" i="5"/>
  <c r="K88" i="5"/>
  <c r="L51" i="5"/>
  <c r="L77" i="5"/>
  <c r="K77" i="5"/>
  <c r="K75" i="5"/>
  <c r="L49" i="5"/>
  <c r="K49" i="5"/>
  <c r="K63" i="5" l="1"/>
  <c r="L170" i="5" l="1"/>
  <c r="L150" i="5"/>
  <c r="K150" i="5"/>
  <c r="L149" i="5"/>
  <c r="L143" i="5"/>
  <c r="L142" i="5"/>
  <c r="L141" i="5"/>
  <c r="L140" i="5"/>
  <c r="L132" i="5"/>
  <c r="K132" i="5"/>
  <c r="L131" i="5"/>
  <c r="K131" i="5"/>
  <c r="L130" i="5"/>
  <c r="L128" i="5"/>
  <c r="L118" i="5"/>
  <c r="K118" i="5"/>
  <c r="L117" i="5"/>
  <c r="K117" i="5"/>
  <c r="L116" i="5"/>
  <c r="L114" i="5"/>
  <c r="L100" i="5"/>
  <c r="L99" i="5"/>
  <c r="K99" i="5"/>
  <c r="L95" i="5"/>
  <c r="L93" i="5"/>
  <c r="L84" i="5"/>
  <c r="L79" i="5"/>
  <c r="K79" i="5"/>
  <c r="L78" i="5"/>
  <c r="K78" i="5"/>
  <c r="L52" i="5"/>
  <c r="L45" i="5"/>
  <c r="K45" i="5"/>
  <c r="L40" i="5"/>
  <c r="K40" i="5"/>
  <c r="L39" i="5"/>
  <c r="K39" i="5"/>
  <c r="L37" i="5"/>
  <c r="K37" i="5"/>
  <c r="L36" i="5"/>
  <c r="K36" i="5"/>
  <c r="L35" i="5"/>
  <c r="K35" i="5"/>
  <c r="L32" i="5"/>
  <c r="L29" i="5"/>
  <c r="L28" i="5"/>
  <c r="L24" i="5"/>
  <c r="L23" i="5"/>
  <c r="L21" i="5"/>
  <c r="L20" i="5"/>
  <c r="L19" i="5"/>
  <c r="L15" i="5"/>
  <c r="L11" i="5"/>
  <c r="L10" i="5"/>
  <c r="K170" i="5"/>
  <c r="K168" i="5"/>
  <c r="K167" i="5"/>
  <c r="K145" i="5"/>
  <c r="K143" i="5"/>
  <c r="K142" i="5"/>
  <c r="K141" i="5"/>
  <c r="K140" i="5"/>
  <c r="K130" i="5"/>
  <c r="K128" i="5"/>
  <c r="K95" i="5"/>
  <c r="K93" i="5"/>
  <c r="K52" i="5"/>
  <c r="K43" i="5"/>
  <c r="K29" i="5"/>
  <c r="K28" i="5"/>
  <c r="K23" i="5"/>
  <c r="K21" i="5"/>
  <c r="K20" i="5"/>
  <c r="K19" i="5"/>
  <c r="K15" i="5"/>
  <c r="I149" i="5"/>
  <c r="K149" i="5" s="1"/>
  <c r="J148" i="5"/>
  <c r="L148" i="5" s="1"/>
  <c r="I148" i="5"/>
  <c r="K148" i="5" s="1"/>
  <c r="J145" i="5"/>
  <c r="L145" i="5" s="1"/>
  <c r="J127" i="5"/>
  <c r="L127" i="5" s="1"/>
  <c r="I127" i="5"/>
  <c r="I74" i="5"/>
  <c r="J48" i="5"/>
  <c r="L48" i="5" s="1"/>
  <c r="I48" i="5"/>
  <c r="J47" i="5"/>
  <c r="L47" i="5" s="1"/>
  <c r="I47" i="5"/>
  <c r="K47" i="5" s="1"/>
  <c r="J46" i="5"/>
  <c r="L46" i="5" s="1"/>
  <c r="I46" i="5"/>
  <c r="K46" i="5" s="1"/>
  <c r="J43" i="5"/>
  <c r="L43" i="5" s="1"/>
  <c r="J38" i="5"/>
  <c r="L38" i="5" s="1"/>
  <c r="I38" i="5"/>
  <c r="K38" i="5" s="1"/>
  <c r="I32" i="5"/>
  <c r="J31" i="5"/>
  <c r="L31" i="5" s="1"/>
  <c r="I31" i="5"/>
  <c r="K31" i="5" s="1"/>
  <c r="J30" i="5"/>
  <c r="L30" i="5" s="1"/>
  <c r="I30" i="5"/>
  <c r="K30" i="5" s="1"/>
  <c r="J27" i="5"/>
  <c r="L27" i="5" s="1"/>
  <c r="I27" i="5"/>
  <c r="K27" i="5" s="1"/>
  <c r="J14" i="5"/>
  <c r="I14" i="5"/>
  <c r="J13" i="5"/>
  <c r="I13" i="5"/>
  <c r="I12" i="5"/>
  <c r="J12" i="5" s="1"/>
  <c r="J9" i="5"/>
  <c r="L9" i="5" s="1"/>
  <c r="L74" i="5" l="1"/>
  <c r="K48" i="5"/>
  <c r="L14" i="5"/>
  <c r="L13" i="5"/>
  <c r="K32" i="5"/>
  <c r="K127" i="5"/>
  <c r="K74" i="5"/>
  <c r="K4" i="1"/>
  <c r="K3" i="1" l="1"/>
  <c r="K2" i="1"/>
  <c r="J13" i="8"/>
  <c r="N49" i="8" l="1"/>
  <c r="N48" i="8"/>
  <c r="N47" i="8"/>
  <c r="N46" i="8"/>
  <c r="N45" i="8"/>
  <c r="N44" i="8"/>
  <c r="N43" i="8"/>
  <c r="N42" i="8"/>
  <c r="N41" i="8"/>
  <c r="N40" i="8"/>
  <c r="N39" i="8"/>
  <c r="N38" i="8"/>
  <c r="N37" i="8"/>
  <c r="O105" i="8" l="1"/>
  <c r="M105" i="8"/>
  <c r="K105" i="8"/>
  <c r="O104" i="8"/>
  <c r="M104" i="8"/>
  <c r="K104" i="8"/>
  <c r="I104" i="8" s="1"/>
  <c r="O103" i="8"/>
  <c r="M103" i="8"/>
  <c r="K103" i="8"/>
  <c r="O102" i="8"/>
  <c r="M102" i="8"/>
  <c r="O101" i="8"/>
  <c r="M101" i="8"/>
  <c r="K101" i="8"/>
  <c r="M100" i="8"/>
  <c r="I100" i="8" s="1"/>
  <c r="O99" i="8"/>
  <c r="M99" i="8"/>
  <c r="O98" i="8"/>
  <c r="M98" i="8"/>
  <c r="K98" i="8"/>
  <c r="O97" i="8"/>
  <c r="M97" i="8"/>
  <c r="K97" i="8"/>
  <c r="O96" i="8"/>
  <c r="M96" i="8"/>
  <c r="K96" i="8"/>
  <c r="O95" i="8"/>
  <c r="M95" i="8"/>
  <c r="K95" i="8"/>
  <c r="O94" i="8"/>
  <c r="M94" i="8"/>
  <c r="K94" i="8"/>
  <c r="O93" i="8"/>
  <c r="M93" i="8"/>
  <c r="K93" i="8"/>
  <c r="O92" i="8"/>
  <c r="M92" i="8"/>
  <c r="K92" i="8"/>
  <c r="I96" i="8" l="1"/>
  <c r="I92" i="8"/>
  <c r="I94" i="8"/>
  <c r="I105" i="8"/>
  <c r="I97" i="8"/>
  <c r="I103" i="8"/>
  <c r="I99" i="8"/>
  <c r="I101" i="8"/>
  <c r="I98" i="8"/>
  <c r="I95" i="8"/>
  <c r="I102" i="8"/>
  <c r="I93" i="8"/>
  <c r="L49" i="8"/>
  <c r="J49" i="8"/>
  <c r="H49" i="8"/>
  <c r="L48" i="8"/>
  <c r="J48" i="8"/>
  <c r="H48" i="8"/>
  <c r="O48" i="8" s="1"/>
  <c r="L47" i="8"/>
  <c r="J47" i="8"/>
  <c r="H47" i="8"/>
  <c r="O47" i="8" s="1"/>
  <c r="L46" i="8"/>
  <c r="J46" i="8"/>
  <c r="H46" i="8"/>
  <c r="L45" i="8"/>
  <c r="J45" i="8"/>
  <c r="H45" i="8"/>
  <c r="O45" i="8" s="1"/>
  <c r="L44" i="8"/>
  <c r="J44" i="8"/>
  <c r="H44" i="8"/>
  <c r="L43" i="8"/>
  <c r="J43" i="8"/>
  <c r="H43" i="8"/>
  <c r="L42" i="8"/>
  <c r="J42" i="8"/>
  <c r="H42" i="8"/>
  <c r="O42" i="8" s="1"/>
  <c r="J41" i="8"/>
  <c r="H41" i="8"/>
  <c r="L40" i="8"/>
  <c r="J40" i="8"/>
  <c r="H40" i="8"/>
  <c r="L39" i="8"/>
  <c r="J39" i="8"/>
  <c r="H39" i="8"/>
  <c r="O39" i="8" s="1"/>
  <c r="L38" i="8"/>
  <c r="J38" i="8"/>
  <c r="H38" i="8"/>
  <c r="L37" i="8"/>
  <c r="J37" i="8"/>
  <c r="H37" i="8"/>
  <c r="J33" i="8"/>
  <c r="I15" i="8" s="1"/>
  <c r="J15" i="8" s="1"/>
  <c r="L32" i="8"/>
  <c r="K32" i="8"/>
  <c r="L31" i="8"/>
  <c r="K31" i="8"/>
  <c r="L30" i="8"/>
  <c r="K30" i="8"/>
  <c r="L29" i="8"/>
  <c r="K29" i="8"/>
  <c r="L28" i="8"/>
  <c r="K28" i="8"/>
  <c r="J23" i="8"/>
  <c r="J17" i="8"/>
  <c r="J14" i="8"/>
  <c r="K6" i="8"/>
  <c r="K5" i="8"/>
  <c r="I37" i="8" l="1"/>
  <c r="O37" i="8"/>
  <c r="M49" i="8"/>
  <c r="O49" i="8"/>
  <c r="K41" i="8"/>
  <c r="O41" i="8"/>
  <c r="M46" i="8"/>
  <c r="O46" i="8"/>
  <c r="M40" i="8"/>
  <c r="O40" i="8"/>
  <c r="K38" i="8"/>
  <c r="O38" i="8"/>
  <c r="K44" i="8"/>
  <c r="O44" i="8"/>
  <c r="M43" i="8"/>
  <c r="O43" i="8"/>
  <c r="K40" i="8"/>
  <c r="K46" i="8"/>
  <c r="K43" i="8"/>
  <c r="J16" i="8"/>
  <c r="J18" i="8" s="1"/>
  <c r="J7" i="8" s="1"/>
  <c r="K7" i="8" s="1"/>
  <c r="K49" i="8"/>
  <c r="K47" i="8"/>
  <c r="M37" i="8"/>
  <c r="K37" i="8"/>
  <c r="I40" i="8"/>
  <c r="M38" i="8"/>
  <c r="M41" i="8"/>
  <c r="I43" i="8"/>
  <c r="M44" i="8"/>
  <c r="I46" i="8"/>
  <c r="M47" i="8"/>
  <c r="I49" i="8"/>
  <c r="I39" i="8"/>
  <c r="I45" i="8"/>
  <c r="J22" i="8" s="1"/>
  <c r="I48" i="8"/>
  <c r="K45" i="8"/>
  <c r="K48" i="8"/>
  <c r="M48" i="8"/>
  <c r="I42" i="8"/>
  <c r="K39" i="8"/>
  <c r="K42" i="8"/>
  <c r="I38" i="8"/>
  <c r="M39" i="8"/>
  <c r="I41" i="8"/>
  <c r="M42" i="8"/>
  <c r="I44" i="8"/>
  <c r="M45" i="8"/>
  <c r="I47" i="8"/>
  <c r="J24" i="8" l="1"/>
  <c r="I8" i="8" s="1"/>
  <c r="I7" i="8"/>
  <c r="J8" i="8" l="1"/>
  <c r="K8" i="8" s="1"/>
  <c r="K9" i="8" s="1"/>
  <c r="L9" i="8" s="1"/>
  <c r="E2" i="5"/>
  <c r="L12" i="5" s="1"/>
  <c r="D2" i="5" a="1"/>
  <c r="C4" i="5"/>
  <c r="K13" i="5" l="1"/>
  <c r="D2" i="5"/>
  <c r="K14" i="5" l="1"/>
  <c r="K86" i="5"/>
  <c r="K12" i="5"/>
  <c r="K11" i="5"/>
  <c r="K10" i="5"/>
  <c r="K9" i="5"/>
  <c r="K84" i="5"/>
  <c r="K24"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H41" authorId="0" shapeId="0" xr:uid="{477C749D-179B-43D9-BFF0-FD5646EF94BD}">
      <text>
        <r>
          <rPr>
            <b/>
            <sz val="22"/>
            <color indexed="81"/>
            <rFont val="細明體"/>
            <family val="3"/>
            <charset val="136"/>
          </rPr>
          <t xml:space="preserve">倫敦分行為
</t>
        </r>
        <r>
          <rPr>
            <b/>
            <sz val="22"/>
            <color indexed="81"/>
            <rFont val="Tahoma"/>
            <family val="2"/>
          </rPr>
          <t>2892Z LN Equity</t>
        </r>
      </text>
    </comment>
    <comment ref="H45" authorId="0" shapeId="0" xr:uid="{21E7C3EA-959B-4E15-BEBF-56AA2FB1CD93}">
      <text>
        <r>
          <rPr>
            <b/>
            <sz val="16"/>
            <color indexed="81"/>
            <rFont val="細明體"/>
            <family val="3"/>
            <charset val="136"/>
          </rPr>
          <t>台北分公司為
0749993D TT Equity</t>
        </r>
      </text>
    </comment>
    <comment ref="H97" authorId="0" shapeId="0" xr:uid="{341EB265-5CA3-4274-AE46-5CFA4B5B66BB}">
      <text>
        <r>
          <rPr>
            <b/>
            <sz val="22"/>
            <color indexed="81"/>
            <rFont val="細明體"/>
            <family val="3"/>
            <charset val="136"/>
          </rPr>
          <t xml:space="preserve">倫敦分行為
</t>
        </r>
        <r>
          <rPr>
            <b/>
            <sz val="22"/>
            <color indexed="81"/>
            <rFont val="Tahoma"/>
            <family val="2"/>
          </rPr>
          <t>2892Z LN Equity</t>
        </r>
      </text>
    </comment>
    <comment ref="H101" authorId="0" shapeId="0" xr:uid="{5192FEDA-642C-4B82-BAB5-FF3D566D9CCB}">
      <text>
        <r>
          <rPr>
            <b/>
            <sz val="16"/>
            <color indexed="81"/>
            <rFont val="細明體"/>
            <family val="3"/>
            <charset val="136"/>
          </rPr>
          <t>台北分公司為
0749993D TT Equity</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<sst xmlns="http://schemas.openxmlformats.org/spreadsheetml/2006/main" count="3168" uniqueCount="1684">
  <si>
    <t>特別約定事項欄位</t>
    <phoneticPr fontId="2" type="noConversion"/>
  </si>
  <si>
    <t>商品中文名稱</t>
  </si>
  <si>
    <t>商品中文名稱</t>
    <phoneticPr fontId="2" type="noConversion"/>
  </si>
  <si>
    <t>商品英文名稱</t>
  </si>
  <si>
    <t>商品英文名稱</t>
    <phoneticPr fontId="2" type="noConversion"/>
  </si>
  <si>
    <t>Field1</t>
  </si>
  <si>
    <t>Field1</t>
    <phoneticPr fontId="2" type="noConversion"/>
  </si>
  <si>
    <t>Field2</t>
  </si>
  <si>
    <t>高齡適合度聲明書</t>
    <phoneticPr fontId="2" type="noConversion"/>
  </si>
  <si>
    <t>風險等級</t>
    <phoneticPr fontId="2" type="noConversion"/>
  </si>
  <si>
    <r>
      <rPr>
        <sz val="12"/>
        <color theme="1"/>
        <rFont val="Microsoft JhengHei"/>
        <family val="2"/>
      </rPr>
      <t>產品高於</t>
    </r>
    <r>
      <rPr>
        <sz val="12"/>
        <color theme="1"/>
        <rFont val="Calibri"/>
        <family val="2"/>
      </rPr>
      <t>10</t>
    </r>
    <r>
      <rPr>
        <sz val="12"/>
        <color theme="1"/>
        <rFont val="Microsoft JhengHei"/>
        <family val="2"/>
      </rPr>
      <t>年期</t>
    </r>
    <phoneticPr fontId="2" type="noConversion"/>
  </si>
  <si>
    <r>
      <rPr>
        <sz val="12"/>
        <color theme="1"/>
        <rFont val="Microsoft JhengHei"/>
        <family val="2"/>
      </rPr>
      <t>保本率低於</t>
    </r>
    <r>
      <rPr>
        <sz val="12"/>
        <color theme="1"/>
        <rFont val="Calibri"/>
        <family val="2"/>
      </rPr>
      <t>100%</t>
    </r>
    <phoneticPr fontId="2" type="noConversion"/>
  </si>
  <si>
    <t>最低收益風險</t>
    <phoneticPr fontId="2" type="noConversion"/>
  </si>
  <si>
    <t>提前贖回價格風險</t>
    <phoneticPr fontId="2" type="noConversion"/>
  </si>
  <si>
    <t>複雜的商品</t>
    <phoneticPr fontId="2" type="noConversion"/>
  </si>
  <si>
    <t>Field3</t>
  </si>
  <si>
    <t>Field4</t>
  </si>
  <si>
    <t>Field5</t>
  </si>
  <si>
    <t>Field6</t>
  </si>
  <si>
    <t>Field7</t>
  </si>
  <si>
    <t>Field8</t>
  </si>
  <si>
    <t>Product</t>
  </si>
  <si>
    <t>TDCC</t>
  </si>
  <si>
    <t>Currency</t>
  </si>
  <si>
    <t>Guaranteed Period/Non-call
(M)</t>
    <phoneticPr fontId="2" type="noConversion"/>
  </si>
  <si>
    <t>Underlying_1</t>
  </si>
  <si>
    <t>Underlying_2</t>
  </si>
  <si>
    <t>Underlying_3</t>
  </si>
  <si>
    <t>Underlying_4</t>
  </si>
  <si>
    <t>Underlying_5</t>
  </si>
  <si>
    <t xml:space="preserve">Strike (%) </t>
  </si>
  <si>
    <t>KO Type</t>
  </si>
  <si>
    <t>KO Barrier (%)</t>
  </si>
  <si>
    <t>Tenor</t>
  </si>
  <si>
    <t>Tenor (M/Y)</t>
  </si>
  <si>
    <t>Barrier Type</t>
  </si>
  <si>
    <t xml:space="preserve">KI (%) </t>
  </si>
  <si>
    <t>Stepdown
KO (%)</t>
  </si>
  <si>
    <t>Issuer</t>
    <phoneticPr fontId="2" type="noConversion"/>
  </si>
  <si>
    <t>TDCC (前3)</t>
  </si>
  <si>
    <t>上手代碼</t>
  </si>
  <si>
    <t>086</t>
  </si>
  <si>
    <t>CA</t>
  </si>
  <si>
    <t>082</t>
  </si>
  <si>
    <t>BNP</t>
  </si>
  <si>
    <t>037</t>
  </si>
  <si>
    <t>SG</t>
  </si>
  <si>
    <t>092</t>
  </si>
  <si>
    <t>UBS</t>
  </si>
  <si>
    <t>156</t>
  </si>
  <si>
    <t>Nomura</t>
  </si>
  <si>
    <t>029</t>
  </si>
  <si>
    <t>BARC</t>
  </si>
  <si>
    <t>159</t>
  </si>
  <si>
    <t>Citi</t>
  </si>
  <si>
    <t>147</t>
  </si>
  <si>
    <t>MS</t>
  </si>
  <si>
    <t>328</t>
  </si>
  <si>
    <t>Natixis</t>
  </si>
  <si>
    <t>076</t>
  </si>
  <si>
    <t>JPM</t>
  </si>
  <si>
    <t>148</t>
  </si>
  <si>
    <t>GS</t>
  </si>
  <si>
    <t>325</t>
  </si>
  <si>
    <t>HSBC</t>
  </si>
  <si>
    <t>083</t>
  </si>
  <si>
    <t>SC</t>
  </si>
  <si>
    <t>KO Type</t>
    <phoneticPr fontId="6" type="noConversion"/>
  </si>
  <si>
    <t>Product</t>
    <phoneticPr fontId="6" type="noConversion"/>
  </si>
  <si>
    <t>Currency</t>
    <phoneticPr fontId="6" type="noConversion"/>
  </si>
  <si>
    <t>Tenor</t>
    <phoneticPr fontId="6" type="noConversion"/>
  </si>
  <si>
    <t>Barrier type</t>
    <phoneticPr fontId="6" type="noConversion"/>
  </si>
  <si>
    <t>Daily Memory</t>
  </si>
  <si>
    <t>Spread Steepener</t>
    <phoneticPr fontId="6" type="noConversion"/>
  </si>
  <si>
    <t>USD</t>
  </si>
  <si>
    <t>M</t>
    <phoneticPr fontId="6" type="noConversion"/>
  </si>
  <si>
    <t>AKI</t>
    <phoneticPr fontId="6" type="noConversion"/>
  </si>
  <si>
    <t>Daily</t>
  </si>
  <si>
    <t>Bull Bear</t>
    <phoneticPr fontId="6" type="noConversion"/>
  </si>
  <si>
    <t>HKD</t>
  </si>
  <si>
    <t>Y</t>
    <phoneticPr fontId="6" type="noConversion"/>
  </si>
  <si>
    <t>MKI</t>
    <phoneticPr fontId="6" type="noConversion"/>
  </si>
  <si>
    <t>Period End</t>
  </si>
  <si>
    <t>Sharkfin</t>
  </si>
  <si>
    <t>AUD</t>
  </si>
  <si>
    <t>EKI</t>
    <phoneticPr fontId="6" type="noConversion"/>
  </si>
  <si>
    <t>Period End Memory</t>
  </si>
  <si>
    <t>Callable Bond (Funding Note)</t>
    <phoneticPr fontId="6" type="noConversion"/>
  </si>
  <si>
    <t>CNH</t>
  </si>
  <si>
    <t>Inverse Floater Note</t>
  </si>
  <si>
    <t>EUR</t>
  </si>
  <si>
    <t>Range Accrual</t>
    <phoneticPr fontId="6" type="noConversion"/>
  </si>
  <si>
    <t>JPY</t>
  </si>
  <si>
    <t>FCN</t>
  </si>
  <si>
    <t>GBP</t>
  </si>
  <si>
    <t>DACN</t>
    <phoneticPr fontId="6" type="noConversion"/>
  </si>
  <si>
    <t>ZAR</t>
  </si>
  <si>
    <t>RCN</t>
    <phoneticPr fontId="6" type="noConversion"/>
  </si>
  <si>
    <t>Super Bull</t>
    <phoneticPr fontId="6" type="noConversion"/>
  </si>
  <si>
    <t>Multiplier</t>
    <phoneticPr fontId="6" type="noConversion"/>
  </si>
  <si>
    <t>CAD</t>
    <phoneticPr fontId="2" type="noConversion"/>
  </si>
  <si>
    <t>NZD</t>
    <phoneticPr fontId="2" type="noConversion"/>
  </si>
  <si>
    <t>特別約定事項檔名</t>
    <phoneticPr fontId="2" type="noConversion"/>
  </si>
  <si>
    <t>高齡適合度聲明書檔名</t>
    <phoneticPr fontId="2" type="noConversion"/>
  </si>
  <si>
    <t>Regular BEN</t>
    <phoneticPr fontId="6" type="noConversion"/>
  </si>
  <si>
    <t>Digital BEN</t>
    <phoneticPr fontId="6" type="noConversion"/>
  </si>
  <si>
    <t>天期</t>
  </si>
  <si>
    <t>個月</t>
  </si>
  <si>
    <t>幣別</t>
  </si>
  <si>
    <t>Noncall</t>
  </si>
  <si>
    <t>TSLA UW</t>
  </si>
  <si>
    <t>TSM UN</t>
  </si>
  <si>
    <t>AVGO UW</t>
  </si>
  <si>
    <t>NVDA UW</t>
  </si>
  <si>
    <t>7011 JT</t>
  </si>
  <si>
    <t>Equity</t>
    <phoneticPr fontId="6" type="noConversion"/>
  </si>
  <si>
    <t>BBG Ticker</t>
    <phoneticPr fontId="6" type="noConversion"/>
  </si>
  <si>
    <t>Rates</t>
    <phoneticPr fontId="6" type="noConversion"/>
  </si>
  <si>
    <t>Chinese Name (BNP)</t>
    <phoneticPr fontId="6" type="noConversion"/>
  </si>
  <si>
    <t>English Name (BNP)</t>
    <phoneticPr fontId="6" type="noConversion"/>
  </si>
  <si>
    <t>English Name (CA)</t>
    <phoneticPr fontId="6" type="noConversion"/>
  </si>
  <si>
    <t>FX</t>
    <phoneticPr fontId="6" type="noConversion"/>
  </si>
  <si>
    <t>Name</t>
  </si>
  <si>
    <t>Index</t>
    <phoneticPr fontId="6" type="noConversion"/>
  </si>
  <si>
    <t>BBG Ticker</t>
  </si>
  <si>
    <t>Bond</t>
    <phoneticPr fontId="6" type="noConversion"/>
  </si>
  <si>
    <t>Einglish Name</t>
    <phoneticPr fontId="6" type="noConversion"/>
  </si>
  <si>
    <t>Chinese Name</t>
    <phoneticPr fontId="6" type="noConversion"/>
  </si>
  <si>
    <t>USOSFR1</t>
    <phoneticPr fontId="6" type="noConversion"/>
  </si>
  <si>
    <t>美元1年期固定期限交換利率</t>
  </si>
  <si>
    <t>1-year CMS</t>
  </si>
  <si>
    <t>USD CMS1Y</t>
    <phoneticPr fontId="6" type="noConversion"/>
  </si>
  <si>
    <t xml:space="preserve">USDSEK </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</si>
  <si>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瑞典克朗</t>
    </r>
    <phoneticPr fontId="6" type="noConversion"/>
  </si>
  <si>
    <t>標準普爾500指數</t>
    <phoneticPr fontId="6" type="noConversion"/>
  </si>
  <si>
    <t>US91282CMG32</t>
  </si>
  <si>
    <t>UST 5Y</t>
    <phoneticPr fontId="6" type="noConversion"/>
  </si>
  <si>
    <r>
      <t>5</t>
    </r>
    <r>
      <rPr>
        <sz val="12"/>
        <color theme="1"/>
        <rFont val="微軟正黑體"/>
        <family val="2"/>
        <charset val="136"/>
      </rPr>
      <t>年期美國公債</t>
    </r>
    <phoneticPr fontId="6" type="noConversion"/>
  </si>
  <si>
    <t>USOSFR2</t>
  </si>
  <si>
    <t>美元2年期固定期限交換利率</t>
  </si>
  <si>
    <t>2-year CMS</t>
  </si>
  <si>
    <t>USD CMS2Y</t>
  </si>
  <si>
    <t>USDNOK</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</si>
  <si>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挪威克朗</t>
    </r>
    <phoneticPr fontId="6" type="noConversion"/>
  </si>
  <si>
    <t>恒生指數</t>
    <phoneticPr fontId="6" type="noConversion"/>
  </si>
  <si>
    <t>US91282CMM00</t>
  </si>
  <si>
    <t>UST 10Y</t>
    <phoneticPr fontId="6" type="noConversion"/>
  </si>
  <si>
    <r>
      <t>10</t>
    </r>
    <r>
      <rPr>
        <sz val="12"/>
        <color theme="1"/>
        <rFont val="微軟正黑體"/>
        <family val="2"/>
        <charset val="136"/>
      </rPr>
      <t>年期美國公債</t>
    </r>
    <phoneticPr fontId="6" type="noConversion"/>
  </si>
  <si>
    <t>USOSFR3</t>
  </si>
  <si>
    <t>美元3年期固定期限交換利率</t>
  </si>
  <si>
    <t>3-year CMS</t>
  </si>
  <si>
    <t>USD CMS3Y</t>
  </si>
  <si>
    <t>USDJPY</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</si>
  <si>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日圓</t>
    </r>
    <phoneticPr fontId="6" type="noConversion"/>
  </si>
  <si>
    <t>US912810UF39</t>
    <phoneticPr fontId="6" type="noConversion"/>
  </si>
  <si>
    <t>UST 20Y</t>
    <phoneticPr fontId="6" type="noConversion"/>
  </si>
  <si>
    <r>
      <t>20</t>
    </r>
    <r>
      <rPr>
        <sz val="12"/>
        <color theme="1"/>
        <rFont val="微軟正黑體"/>
        <family val="2"/>
        <charset val="136"/>
      </rPr>
      <t>年期美國公債</t>
    </r>
  </si>
  <si>
    <t>USOSFR4</t>
  </si>
  <si>
    <t>美元4年期固定期限交換利率</t>
  </si>
  <si>
    <t>4-year CMS</t>
  </si>
  <si>
    <t>USD CMS4Y</t>
  </si>
  <si>
    <t>USDDKK</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</si>
  <si>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丹麥克朗</t>
    </r>
    <phoneticPr fontId="6" type="noConversion"/>
  </si>
  <si>
    <t>US912810UG12</t>
  </si>
  <si>
    <t>UST 30Y</t>
    <phoneticPr fontId="6" type="noConversion"/>
  </si>
  <si>
    <r>
      <t>30</t>
    </r>
    <r>
      <rPr>
        <sz val="12"/>
        <color theme="1"/>
        <rFont val="微軟正黑體"/>
        <family val="2"/>
        <charset val="136"/>
      </rPr>
      <t>年期美國公債</t>
    </r>
    <phoneticPr fontId="6" type="noConversion"/>
  </si>
  <si>
    <t>USOSFR5</t>
  </si>
  <si>
    <t>美元5年期固定期限交換利率</t>
  </si>
  <si>
    <t>5-year CMS</t>
  </si>
  <si>
    <t>USD CMS5Y</t>
  </si>
  <si>
    <t>USDCHF</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</si>
  <si>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瑞士法郎</t>
    </r>
    <phoneticPr fontId="6" type="noConversion"/>
  </si>
  <si>
    <t>US912810UE63</t>
  </si>
  <si>
    <t>USOSFR6</t>
  </si>
  <si>
    <t>美元6年期固定期限交換利率</t>
  </si>
  <si>
    <t>6-year CMS</t>
  </si>
  <si>
    <t>USD CMS6Y</t>
  </si>
  <si>
    <t>USDCAD</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</si>
  <si>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加幣</t>
    </r>
    <phoneticPr fontId="6" type="noConversion"/>
  </si>
  <si>
    <t>USOSFR7</t>
  </si>
  <si>
    <t>美元7年期固定期限交換利率</t>
  </si>
  <si>
    <t>7-year CMS</t>
  </si>
  <si>
    <t>USD CMS7Y</t>
  </si>
  <si>
    <t>NZDUSD</t>
    <phoneticPr fontId="6" type="noConversion"/>
  </si>
  <si>
    <r>
      <rPr>
        <sz val="12"/>
        <color theme="1"/>
        <rFont val="微軟正黑體"/>
        <family val="2"/>
        <charset val="136"/>
      </rPr>
      <t>紐幣</t>
    </r>
    <r>
      <rPr>
        <sz val="12"/>
        <color theme="1"/>
        <rFont val="Calibri"/>
        <family val="2"/>
      </rPr>
      <t>/</t>
    </r>
    <r>
      <rPr>
        <sz val="12"/>
        <color theme="1"/>
        <rFont val="微軟正黑體"/>
        <family val="2"/>
        <charset val="136"/>
      </rPr>
      <t>美元</t>
    </r>
    <phoneticPr fontId="6" type="noConversion"/>
  </si>
  <si>
    <t>USOSFR8</t>
  </si>
  <si>
    <t>美元8年期固定期限交換利率</t>
  </si>
  <si>
    <t>8-year CMS</t>
  </si>
  <si>
    <t>USD CMS8Y</t>
  </si>
  <si>
    <t>GBPUSD</t>
    <phoneticPr fontId="6" type="noConversion"/>
  </si>
  <si>
    <r>
      <rPr>
        <sz val="12"/>
        <color theme="1"/>
        <rFont val="微軟正黑體"/>
        <family val="2"/>
        <charset val="136"/>
      </rPr>
      <t>英鎊</t>
    </r>
    <r>
      <rPr>
        <sz val="12"/>
        <color theme="1"/>
        <rFont val="Calibri"/>
        <family val="2"/>
      </rPr>
      <t>/</t>
    </r>
    <r>
      <rPr>
        <sz val="12"/>
        <color theme="1"/>
        <rFont val="微軟正黑體"/>
        <family val="2"/>
        <charset val="136"/>
      </rPr>
      <t>美元</t>
    </r>
    <phoneticPr fontId="6" type="noConversion"/>
  </si>
  <si>
    <t>USOSFR9</t>
  </si>
  <si>
    <t>美元9年期固定期限交換利率</t>
  </si>
  <si>
    <t>9-year CMS</t>
  </si>
  <si>
    <t>USD CMS9Y</t>
  </si>
  <si>
    <t>EURUSD</t>
    <phoneticPr fontId="6" type="noConversion"/>
  </si>
  <si>
    <r>
      <rPr>
        <sz val="12"/>
        <color theme="1"/>
        <rFont val="微軟正黑體"/>
        <family val="2"/>
        <charset val="136"/>
      </rPr>
      <t>歐元</t>
    </r>
    <r>
      <rPr>
        <sz val="12"/>
        <color theme="1"/>
        <rFont val="Calibri"/>
        <family val="2"/>
      </rPr>
      <t>/</t>
    </r>
    <r>
      <rPr>
        <sz val="12"/>
        <color theme="1"/>
        <rFont val="微軟正黑體"/>
        <family val="2"/>
        <charset val="136"/>
      </rPr>
      <t>美元</t>
    </r>
    <phoneticPr fontId="6" type="noConversion"/>
  </si>
  <si>
    <t>USOSFR10</t>
  </si>
  <si>
    <t>美元10年期固定期限交換利率</t>
  </si>
  <si>
    <t>10-year CMS</t>
  </si>
  <si>
    <t>USD CMS10Y</t>
  </si>
  <si>
    <t>AUDUSD</t>
    <phoneticPr fontId="6" type="noConversion"/>
  </si>
  <si>
    <r>
      <rPr>
        <sz val="12"/>
        <color theme="1"/>
        <rFont val="微軟正黑體"/>
        <family val="2"/>
        <charset val="136"/>
      </rPr>
      <t>澳幣</t>
    </r>
    <r>
      <rPr>
        <sz val="12"/>
        <color theme="1"/>
        <rFont val="Calibri"/>
        <family val="2"/>
      </rPr>
      <t>/</t>
    </r>
    <r>
      <rPr>
        <sz val="12"/>
        <color theme="1"/>
        <rFont val="微軟正黑體"/>
        <family val="2"/>
        <charset val="136"/>
      </rPr>
      <t>美元</t>
    </r>
    <phoneticPr fontId="6" type="noConversion"/>
  </si>
  <si>
    <t>USOSFR15</t>
    <phoneticPr fontId="6" type="noConversion"/>
  </si>
  <si>
    <t>美元15年期固定期限交換利率</t>
  </si>
  <si>
    <t>15-year CMS</t>
    <phoneticPr fontId="6" type="noConversion"/>
  </si>
  <si>
    <t>USD CMS15Y</t>
    <phoneticPr fontId="6" type="noConversion"/>
  </si>
  <si>
    <t>USDZAR</t>
    <phoneticPr fontId="6" type="noConversion"/>
  </si>
  <si>
    <t>美元/南非幣</t>
    <phoneticPr fontId="6" type="noConversion"/>
  </si>
  <si>
    <t>USOSFR20</t>
    <phoneticPr fontId="6" type="noConversion"/>
  </si>
  <si>
    <t>美元20年期固定期限交換利率</t>
  </si>
  <si>
    <t>20-year CMS</t>
    <phoneticPr fontId="6" type="noConversion"/>
  </si>
  <si>
    <t>USD CMS20Y</t>
    <phoneticPr fontId="6" type="noConversion"/>
  </si>
  <si>
    <t>USDTRY</t>
    <phoneticPr fontId="6" type="noConversion"/>
  </si>
  <si>
    <t>美元/新土耳及裡拉</t>
    <phoneticPr fontId="6" type="noConversion"/>
  </si>
  <si>
    <t>USOSFR30</t>
    <phoneticPr fontId="6" type="noConversion"/>
  </si>
  <si>
    <t>美元30年期固定期限交換利率</t>
  </si>
  <si>
    <t>30-year CMS</t>
    <phoneticPr fontId="6" type="noConversion"/>
  </si>
  <si>
    <t>USD CMS30Y</t>
    <phoneticPr fontId="6" type="noConversion"/>
  </si>
  <si>
    <t>USDTHB</t>
    <phoneticPr fontId="6" type="noConversion"/>
  </si>
  <si>
    <t>美元/泰銖</t>
    <phoneticPr fontId="6" type="noConversion"/>
  </si>
  <si>
    <t>XSOFR1M</t>
    <phoneticPr fontId="6" type="noConversion"/>
  </si>
  <si>
    <t>美元擔保隔夜融資利率</t>
    <phoneticPr fontId="6" type="noConversion"/>
  </si>
  <si>
    <t>-</t>
    <phoneticPr fontId="6" type="noConversion"/>
  </si>
  <si>
    <t>1M USD-SOFR</t>
  </si>
  <si>
    <t>USDSGD</t>
    <phoneticPr fontId="6" type="noConversion"/>
  </si>
  <si>
    <t>美元/新加坡幣</t>
    <phoneticPr fontId="6" type="noConversion"/>
  </si>
  <si>
    <t>XSOFR2M</t>
  </si>
  <si>
    <t>2M USD-SOFR</t>
  </si>
  <si>
    <t>USDRUB</t>
    <phoneticPr fontId="6" type="noConversion"/>
  </si>
  <si>
    <t>美元/俄羅斯盧布</t>
    <phoneticPr fontId="6" type="noConversion"/>
  </si>
  <si>
    <t>XSOFR3M</t>
  </si>
  <si>
    <t>3M USD-SOFR</t>
  </si>
  <si>
    <t>USDRON</t>
    <phoneticPr fontId="6" type="noConversion"/>
  </si>
  <si>
    <t>美元/羅馬尼亞列伊</t>
    <phoneticPr fontId="6" type="noConversion"/>
  </si>
  <si>
    <t>USGG1YR</t>
    <phoneticPr fontId="6" type="noConversion"/>
  </si>
  <si>
    <t xml:space="preserve">UST 1Y </t>
    <phoneticPr fontId="6" type="noConversion"/>
  </si>
  <si>
    <t>USDPLN</t>
    <phoneticPr fontId="6" type="noConversion"/>
  </si>
  <si>
    <t>美元/波瀾茲羅提</t>
    <phoneticPr fontId="6" type="noConversion"/>
  </si>
  <si>
    <t>USGG2YR</t>
  </si>
  <si>
    <t>UST 2Y</t>
  </si>
  <si>
    <t>USDPHP</t>
    <phoneticPr fontId="6" type="noConversion"/>
  </si>
  <si>
    <t>美元/菲律賓披索</t>
    <phoneticPr fontId="6" type="noConversion"/>
  </si>
  <si>
    <t>USGG5YR</t>
    <phoneticPr fontId="6" type="noConversion"/>
  </si>
  <si>
    <t>USDPEN</t>
    <phoneticPr fontId="6" type="noConversion"/>
  </si>
  <si>
    <t>美元/祕魯索爾</t>
    <phoneticPr fontId="6" type="noConversion"/>
  </si>
  <si>
    <t>USGG7YR</t>
    <phoneticPr fontId="6" type="noConversion"/>
  </si>
  <si>
    <t>UST 7Y</t>
    <phoneticPr fontId="6" type="noConversion"/>
  </si>
  <si>
    <t>USDBRL</t>
    <phoneticPr fontId="6" type="noConversion"/>
  </si>
  <si>
    <t>美元/巴西雷亞爾</t>
    <phoneticPr fontId="6" type="noConversion"/>
  </si>
  <si>
    <t>USGG10YR</t>
    <phoneticPr fontId="6" type="noConversion"/>
  </si>
  <si>
    <t>USDBGN</t>
    <phoneticPr fontId="6" type="noConversion"/>
  </si>
  <si>
    <t>美元/保加利亞列弗</t>
    <phoneticPr fontId="6" type="noConversion"/>
  </si>
  <si>
    <t>USGG20YR</t>
    <phoneticPr fontId="6" type="noConversion"/>
  </si>
  <si>
    <t>USDMYR</t>
    <phoneticPr fontId="6" type="noConversion"/>
  </si>
  <si>
    <t>美元/馬來西亞林吉特</t>
    <phoneticPr fontId="6" type="noConversion"/>
  </si>
  <si>
    <t>USGG30YR</t>
    <phoneticPr fontId="6" type="noConversion"/>
  </si>
  <si>
    <t>USDMXN</t>
    <phoneticPr fontId="6" type="noConversion"/>
  </si>
  <si>
    <t>美元/墨西哥披索</t>
    <phoneticPr fontId="6" type="noConversion"/>
  </si>
  <si>
    <t>USDKRW</t>
    <phoneticPr fontId="6" type="noConversion"/>
  </si>
  <si>
    <t>美元/韓圜</t>
    <phoneticPr fontId="6" type="noConversion"/>
  </si>
  <si>
    <t>USDINR</t>
    <phoneticPr fontId="6" type="noConversion"/>
  </si>
  <si>
    <t>美元/印度盧比</t>
    <phoneticPr fontId="6" type="noConversion"/>
  </si>
  <si>
    <t>USDIDR</t>
    <phoneticPr fontId="6" type="noConversion"/>
  </si>
  <si>
    <t>美元/印尼盧比</t>
    <phoneticPr fontId="6" type="noConversion"/>
  </si>
  <si>
    <t>USDHUF</t>
    <phoneticPr fontId="6" type="noConversion"/>
  </si>
  <si>
    <t>美元/匈牙利福林</t>
    <phoneticPr fontId="6" type="noConversion"/>
  </si>
  <si>
    <t>USDHKD</t>
    <phoneticPr fontId="6" type="noConversion"/>
  </si>
  <si>
    <t>美元/港幣</t>
    <phoneticPr fontId="6" type="noConversion"/>
  </si>
  <si>
    <t>USDZCZK</t>
    <phoneticPr fontId="6" type="noConversion"/>
  </si>
  <si>
    <t>美元/捷克克朗</t>
    <phoneticPr fontId="6" type="noConversion"/>
  </si>
  <si>
    <t>USDCOP</t>
    <phoneticPr fontId="6" type="noConversion"/>
  </si>
  <si>
    <t>美元/哥倫比亞披索</t>
    <phoneticPr fontId="6" type="noConversion"/>
  </si>
  <si>
    <t>USDCNY</t>
    <phoneticPr fontId="6" type="noConversion"/>
  </si>
  <si>
    <t>美元/人民幣</t>
    <phoneticPr fontId="6" type="noConversion"/>
  </si>
  <si>
    <t>USDCLP</t>
    <phoneticPr fontId="6" type="noConversion"/>
  </si>
  <si>
    <t>美元/智利披索</t>
    <phoneticPr fontId="6" type="noConversion"/>
  </si>
  <si>
    <t>USDARS</t>
    <phoneticPr fontId="6" type="noConversion"/>
  </si>
  <si>
    <t>美元/阿根廷披索</t>
    <phoneticPr fontId="6" type="noConversion"/>
  </si>
  <si>
    <t>AA</t>
  </si>
  <si>
    <t>ISSUER</t>
  </si>
  <si>
    <t>PRODUCT</t>
  </si>
  <si>
    <t>Underlying(中)</t>
  </si>
  <si>
    <t>Underlying(英)</t>
  </si>
  <si>
    <t>中文名稱</t>
  </si>
  <si>
    <t>英文名稱</t>
  </si>
  <si>
    <t>Spread Steepener</t>
  </si>
  <si>
    <t>Bull Bear</t>
  </si>
  <si>
    <t>-</t>
  </si>
  <si>
    <t>Callable Bond (Funding Note)</t>
  </si>
  <si>
    <t>Range Accrual</t>
  </si>
  <si>
    <t>DACN</t>
  </si>
  <si>
    <t>BEN</t>
  </si>
  <si>
    <t>RCN</t>
  </si>
  <si>
    <t>Super Bull</t>
  </si>
  <si>
    <t>Multiplier</t>
  </si>
  <si>
    <t>瑞銀固定配息連結債券（不保本）（無擔保）（無保證機構）結構型債券</t>
  </si>
  <si>
    <t>UBS Bond Linked Note</t>
  </si>
  <si>
    <t>Y</t>
  </si>
  <si>
    <t>Regular BEN</t>
  </si>
  <si>
    <t>Digital BEN</t>
  </si>
  <si>
    <t>-</t>
    <phoneticPr fontId="2" type="noConversion"/>
  </si>
  <si>
    <r>
      <rPr>
        <b/>
        <sz val="12"/>
        <color theme="4"/>
        <rFont val="Calibri"/>
        <family val="2"/>
      </rPr>
      <t>*Sharkfin</t>
    </r>
    <r>
      <rPr>
        <sz val="12"/>
        <color theme="1"/>
        <rFont val="Calibri"/>
        <family val="2"/>
      </rPr>
      <t xml:space="preserve">
Rebate and Redemption paid Upon </t>
    </r>
    <r>
      <rPr>
        <sz val="12"/>
        <color rgb="FFFF0000"/>
        <rFont val="Calibri"/>
        <family val="2"/>
      </rPr>
      <t>KO</t>
    </r>
    <r>
      <rPr>
        <sz val="12"/>
        <color theme="1"/>
        <rFont val="Calibri"/>
        <family val="2"/>
      </rPr>
      <t xml:space="preserve"> </t>
    </r>
    <r>
      <rPr>
        <b/>
        <sz val="12"/>
        <color theme="1"/>
        <rFont val="細明體"/>
        <family val="3"/>
        <charset val="136"/>
      </rPr>
      <t>→</t>
    </r>
    <r>
      <rPr>
        <sz val="12"/>
        <color theme="1"/>
        <rFont val="Calibri"/>
        <family val="2"/>
      </rPr>
      <t xml:space="preserve"> Guaranteed period &lt; Tenor
Rebate and Redemption paid Upon </t>
    </r>
    <r>
      <rPr>
        <sz val="12"/>
        <color rgb="FFFF0000"/>
        <rFont val="Calibri"/>
        <family val="2"/>
      </rPr>
      <t>Mat</t>
    </r>
    <r>
      <rPr>
        <sz val="12"/>
        <color theme="1"/>
        <rFont val="Calibri"/>
        <family val="2"/>
      </rPr>
      <t xml:space="preserve"> </t>
    </r>
    <r>
      <rPr>
        <b/>
        <sz val="12"/>
        <color theme="1"/>
        <rFont val="細明體"/>
        <family val="3"/>
        <charset val="136"/>
      </rPr>
      <t>→</t>
    </r>
    <r>
      <rPr>
        <sz val="12"/>
        <color theme="1"/>
        <rFont val="Calibri"/>
        <family val="2"/>
      </rPr>
      <t xml:space="preserve"> Guaranteed period = Tenor</t>
    </r>
    <phoneticPr fontId="6" type="noConversion"/>
  </si>
  <si>
    <t>檢核項目</t>
    <phoneticPr fontId="22" type="noConversion"/>
  </si>
  <si>
    <t>承作內容</t>
    <phoneticPr fontId="22" type="noConversion"/>
  </si>
  <si>
    <t>備註</t>
    <phoneticPr fontId="22" type="noConversion"/>
  </si>
  <si>
    <t>承作商品架構</t>
    <phoneticPr fontId="22" type="noConversion"/>
  </si>
  <si>
    <t>試算</t>
    <phoneticPr fontId="6" type="noConversion"/>
  </si>
  <si>
    <t>承作架構</t>
    <phoneticPr fontId="22" type="noConversion"/>
  </si>
  <si>
    <t>最差條件保本率</t>
    <phoneticPr fontId="22" type="noConversion"/>
  </si>
  <si>
    <t>未達100%保本之商品無法承作超過1年期</t>
    <phoneticPr fontId="22" type="noConversion"/>
  </si>
  <si>
    <t>權重</t>
    <phoneticPr fontId="6" type="noConversion"/>
  </si>
  <si>
    <t>評分項目</t>
  </si>
  <si>
    <t>DATA</t>
    <phoneticPr fontId="6" type="noConversion"/>
  </si>
  <si>
    <t>原始得分</t>
    <phoneticPr fontId="6" type="noConversion"/>
  </si>
  <si>
    <t>加權得分</t>
    <phoneticPr fontId="6" type="noConversion"/>
  </si>
  <si>
    <t>商品類型</t>
  </si>
  <si>
    <t>商品名稱</t>
  </si>
  <si>
    <t>年期</t>
  </si>
  <si>
    <t>保本率是否為100%</t>
  </si>
  <si>
    <t>風險等級</t>
  </si>
  <si>
    <t>商品年期</t>
    <phoneticPr fontId="22" type="noConversion"/>
  </si>
  <si>
    <t>最差條件保本率</t>
    <phoneticPr fontId="6" type="noConversion"/>
  </si>
  <si>
    <t>利率連結提前贖回結構型商品</t>
    <phoneticPr fontId="6" type="noConversion"/>
  </si>
  <si>
    <t>≦15年</t>
  </si>
  <si>
    <t>RR1~RR3</t>
  </si>
  <si>
    <t>連結標的種類
(ex.股權、利率等)</t>
    <phoneticPr fontId="22" type="noConversion"/>
  </si>
  <si>
    <t>連結標的種類須符合商審規範</t>
    <phoneticPr fontId="22" type="noConversion"/>
  </si>
  <si>
    <t>商品年期</t>
    <phoneticPr fontId="6" type="noConversion"/>
  </si>
  <si>
    <t>雙贏型結構型商品</t>
  </si>
  <si>
    <t>≦5年</t>
  </si>
  <si>
    <t>Y/N註1</t>
  </si>
  <si>
    <t>RR1~RR5</t>
  </si>
  <si>
    <t>連結標的數量</t>
    <phoneticPr fontId="22" type="noConversion"/>
  </si>
  <si>
    <t>商品結構複雜度</t>
    <phoneticPr fontId="6" type="noConversion"/>
  </si>
  <si>
    <t>Sharkfin</t>
    <phoneticPr fontId="22" type="noConversion"/>
  </si>
  <si>
    <t>鯊魚鰭型連結股權結構型商品</t>
  </si>
  <si>
    <t>連結標的_1_彭博代碼</t>
    <phoneticPr fontId="22" type="noConversion"/>
  </si>
  <si>
    <t>CCL UN</t>
  </si>
  <si>
    <t>流動性風險</t>
    <phoneticPr fontId="6" type="noConversion"/>
  </si>
  <si>
    <t>Callable Bond (Funding Note)</t>
    <phoneticPr fontId="22" type="noConversion"/>
  </si>
  <si>
    <t>發行機構可提前買回結構型商品</t>
  </si>
  <si>
    <t>連結標的_2_彭博代碼</t>
    <phoneticPr fontId="22" type="noConversion"/>
  </si>
  <si>
    <t>DAL UN</t>
  </si>
  <si>
    <t>反浮動結構型商品</t>
  </si>
  <si>
    <t>連結標的_3_彭博代碼</t>
    <phoneticPr fontId="22" type="noConversion"/>
  </si>
  <si>
    <t>區間計息結構型商品</t>
  </si>
  <si>
    <t>RR1~RR4</t>
  </si>
  <si>
    <t>連結標的_4_彭博代碼</t>
    <phoneticPr fontId="22" type="noConversion"/>
  </si>
  <si>
    <t>固定配息自動提前贖回結構型商品</t>
    <phoneticPr fontId="6" type="noConversion"/>
  </si>
  <si>
    <t>≦1年</t>
  </si>
  <si>
    <t>N</t>
  </si>
  <si>
    <t>RR3~RR4</t>
  </si>
  <si>
    <t>連結標的_5_彭博代碼</t>
    <phoneticPr fontId="22" type="noConversion"/>
  </si>
  <si>
    <t>得分</t>
    <phoneticPr fontId="6" type="noConversion"/>
  </si>
  <si>
    <t>區間累計配息提前出場之結構型商品</t>
    <phoneticPr fontId="6" type="noConversion"/>
  </si>
  <si>
    <t>商品幣別</t>
  </si>
  <si>
    <t>目前僅可承作美元、英鎊、歐元、澳幣、
港幣、南非幣、日元、人民幣、加幣、
瑞士法郎及紐幣</t>
    <phoneticPr fontId="22" type="noConversion"/>
  </si>
  <si>
    <t>連結標的</t>
    <phoneticPr fontId="6" type="noConversion"/>
  </si>
  <si>
    <t>連結一籃子股票結構型商品</t>
  </si>
  <si>
    <t>≦2年</t>
  </si>
  <si>
    <t>RR1~RR4</t>
    <phoneticPr fontId="6" type="noConversion"/>
  </si>
  <si>
    <t>風險等級</t>
    <phoneticPr fontId="22" type="noConversion"/>
  </si>
  <si>
    <t>依境外結構型商品風險及適合度評估標準
計算之風險等級</t>
    <phoneticPr fontId="22" type="noConversion"/>
  </si>
  <si>
    <t>連結標的數量</t>
  </si>
  <si>
    <t>連結債券結構型商品</t>
  </si>
  <si>
    <t>RR4</t>
  </si>
  <si>
    <t>此架構可承作風險等級</t>
    <phoneticPr fontId="22" type="noConversion"/>
  </si>
  <si>
    <t>風險等級須符合商審規範</t>
    <phoneticPr fontId="22" type="noConversion"/>
  </si>
  <si>
    <t>連結標的的波動性
(近200D年化標準差)</t>
    <phoneticPr fontId="6" type="noConversion"/>
  </si>
  <si>
    <t>≦1年</t>
    <phoneticPr fontId="6" type="noConversion"/>
  </si>
  <si>
    <t>-</t>
    <phoneticPr fontId="22" type="noConversion"/>
  </si>
  <si>
    <t>商品結構複雜度加權分數</t>
    <phoneticPr fontId="6" type="noConversion"/>
  </si>
  <si>
    <t>發行機構可買回配息連結一籃子股票結構型商品</t>
    <phoneticPr fontId="6" type="noConversion"/>
  </si>
  <si>
    <t>≦ 15年</t>
  </si>
  <si>
    <t>提前贖回條款</t>
    <phoneticPr fontId="6" type="noConversion"/>
  </si>
  <si>
    <t>交易日期：</t>
  </si>
  <si>
    <t>商品結構複雜度分數合計</t>
    <phoneticPr fontId="6" type="noConversion"/>
  </si>
  <si>
    <t>檢核人員：</t>
    <phoneticPr fontId="22" type="noConversion"/>
  </si>
  <si>
    <t>覆核人員：</t>
    <phoneticPr fontId="22" type="noConversion"/>
  </si>
  <si>
    <t>商品流動性</t>
    <phoneticPr fontId="6" type="noConversion"/>
  </si>
  <si>
    <t>信用評等</t>
    <phoneticPr fontId="6" type="noConversion"/>
  </si>
  <si>
    <t>Barclays</t>
  </si>
  <si>
    <t>商品可贖回頻率</t>
  </si>
  <si>
    <t>流動性加權分數</t>
    <phoneticPr fontId="6" type="noConversion"/>
  </si>
  <si>
    <t>VOLATILITY_200D</t>
    <phoneticPr fontId="22" type="noConversion"/>
  </si>
  <si>
    <t>CUR_MKT_CAP</t>
  </si>
  <si>
    <t>#</t>
    <phoneticPr fontId="6" type="noConversion"/>
  </si>
  <si>
    <t>標的名稱</t>
  </si>
  <si>
    <t>標的代碼</t>
  </si>
  <si>
    <t>波動度(200D)</t>
    <phoneticPr fontId="6" type="noConversion"/>
  </si>
  <si>
    <t>連結標的風險因子所得分數</t>
    <phoneticPr fontId="6" type="noConversion"/>
  </si>
  <si>
    <t>市值/十億</t>
    <phoneticPr fontId="6" type="noConversion"/>
  </si>
  <si>
    <t>U1</t>
    <phoneticPr fontId="6" type="noConversion"/>
  </si>
  <si>
    <t>U2</t>
    <phoneticPr fontId="6" type="noConversion"/>
  </si>
  <si>
    <t>U3</t>
    <phoneticPr fontId="6" type="noConversion"/>
  </si>
  <si>
    <t>U4</t>
    <phoneticPr fontId="6" type="noConversion"/>
  </si>
  <si>
    <t/>
  </si>
  <si>
    <t>U5</t>
    <phoneticPr fontId="6" type="noConversion"/>
  </si>
  <si>
    <t>Issuer</t>
  </si>
  <si>
    <t>Ticker</t>
  </si>
  <si>
    <t>MIN</t>
    <phoneticPr fontId="6" type="noConversion"/>
  </si>
  <si>
    <t>S&amp;P</t>
    <phoneticPr fontId="6" type="noConversion"/>
  </si>
  <si>
    <t>惠譽</t>
    <phoneticPr fontId="6" type="noConversion"/>
  </si>
  <si>
    <t>穆迪</t>
    <phoneticPr fontId="6" type="noConversion"/>
  </si>
  <si>
    <t>Rating</t>
  </si>
  <si>
    <t>Rating Score</t>
  </si>
  <si>
    <t>082</t>
    <phoneticPr fontId="6" type="noConversion"/>
  </si>
  <si>
    <t>037</t>
    <phoneticPr fontId="6" type="noConversion"/>
  </si>
  <si>
    <t>086</t>
    <phoneticPr fontId="6" type="noConversion"/>
  </si>
  <si>
    <t>092</t>
    <phoneticPr fontId="6" type="noConversion"/>
  </si>
  <si>
    <t>159</t>
    <phoneticPr fontId="6" type="noConversion"/>
  </si>
  <si>
    <t>029</t>
    <phoneticPr fontId="6" type="noConversion"/>
  </si>
  <si>
    <t>148</t>
    <phoneticPr fontId="6" type="noConversion"/>
  </si>
  <si>
    <t>076</t>
    <phoneticPr fontId="6" type="noConversion"/>
  </si>
  <si>
    <t>325</t>
    <phoneticPr fontId="6" type="noConversion"/>
  </si>
  <si>
    <t>083</t>
    <phoneticPr fontId="6" type="noConversion"/>
  </si>
  <si>
    <t>SC</t>
    <phoneticPr fontId="6" type="noConversion"/>
  </si>
  <si>
    <t>Score</t>
  </si>
  <si>
    <t>PG%</t>
    <phoneticPr fontId="6" type="noConversion"/>
  </si>
  <si>
    <t>AAA</t>
    <phoneticPr fontId="6" type="noConversion"/>
  </si>
  <si>
    <t>&lt;=1Y</t>
    <phoneticPr fontId="6" type="noConversion"/>
  </si>
  <si>
    <t>AA+</t>
    <phoneticPr fontId="6" type="noConversion"/>
  </si>
  <si>
    <t>1Y~3Y(含)</t>
    <phoneticPr fontId="6" type="noConversion"/>
  </si>
  <si>
    <t>3Y~5Y(含)</t>
    <phoneticPr fontId="6" type="noConversion"/>
  </si>
  <si>
    <t>AA-</t>
  </si>
  <si>
    <t>5Y~10Y(含)</t>
    <phoneticPr fontId="6" type="noConversion"/>
  </si>
  <si>
    <t>A+</t>
    <phoneticPr fontId="6" type="noConversion"/>
  </si>
  <si>
    <t>&lt;70</t>
    <phoneticPr fontId="6" type="noConversion"/>
  </si>
  <si>
    <t>&gt;10Y</t>
    <phoneticPr fontId="6" type="noConversion"/>
  </si>
  <si>
    <t>A</t>
  </si>
  <si>
    <t>A-</t>
  </si>
  <si>
    <t>Score</t>
    <phoneticPr fontId="6" type="noConversion"/>
  </si>
  <si>
    <t>Risk Level</t>
    <phoneticPr fontId="6" type="noConversion"/>
  </si>
  <si>
    <t>Underlying Type</t>
    <phoneticPr fontId="6" type="noConversion"/>
  </si>
  <si>
    <t>&lt;=BBB+</t>
    <phoneticPr fontId="6" type="noConversion"/>
  </si>
  <si>
    <t>1.0 ≦ 總評分＜1.8</t>
  </si>
  <si>
    <t>RR1</t>
    <phoneticPr fontId="6" type="noConversion"/>
  </si>
  <si>
    <t>利率</t>
    <phoneticPr fontId="6" type="noConversion"/>
  </si>
  <si>
    <t>Aaa</t>
  </si>
  <si>
    <t>1.8 ≦ 總評分＜2.6</t>
  </si>
  <si>
    <t>RR2</t>
    <phoneticPr fontId="6" type="noConversion"/>
  </si>
  <si>
    <t>匯率</t>
    <phoneticPr fontId="6" type="noConversion"/>
  </si>
  <si>
    <t>Aa1</t>
  </si>
  <si>
    <t>2.6 ≦ 總評分＜3.4</t>
  </si>
  <si>
    <t>RR3</t>
    <phoneticPr fontId="6" type="noConversion"/>
  </si>
  <si>
    <t>債券型基金</t>
    <phoneticPr fontId="6" type="noConversion"/>
  </si>
  <si>
    <t>Aa2</t>
  </si>
  <si>
    <t>3.4 ≦ 總評分＜4.2</t>
  </si>
  <si>
    <t>RR4</t>
    <phoneticPr fontId="6" type="noConversion"/>
  </si>
  <si>
    <t>股票指數</t>
    <phoneticPr fontId="6" type="noConversion"/>
  </si>
  <si>
    <t>Aa3</t>
  </si>
  <si>
    <t>4.2 ≦ 總評分＜5.0</t>
  </si>
  <si>
    <t>RR5</t>
    <phoneticPr fontId="6" type="noConversion"/>
  </si>
  <si>
    <t>股票型基金</t>
    <phoneticPr fontId="6" type="noConversion"/>
  </si>
  <si>
    <t>A1</t>
  </si>
  <si>
    <t>股票(個股or一籃子)</t>
    <phoneticPr fontId="6" type="noConversion"/>
  </si>
  <si>
    <t>A2</t>
  </si>
  <si>
    <t>Underlying Number</t>
    <phoneticPr fontId="6" type="noConversion"/>
  </si>
  <si>
    <t>商品期貨</t>
    <phoneticPr fontId="6" type="noConversion"/>
  </si>
  <si>
    <t>A3</t>
  </si>
  <si>
    <t>信用相關</t>
    <phoneticPr fontId="6" type="noConversion"/>
  </si>
  <si>
    <t>&lt;=Baa1</t>
    <phoneticPr fontId="6" type="noConversion"/>
  </si>
  <si>
    <t>另類投資</t>
    <phoneticPr fontId="6" type="noConversion"/>
  </si>
  <si>
    <t>&gt;=6</t>
    <phoneticPr fontId="6" type="noConversion"/>
  </si>
  <si>
    <t>Tenor(M)</t>
  </si>
  <si>
    <t>HistoryVol</t>
  </si>
  <si>
    <t>(&gt;=60)</t>
    <phoneticPr fontId="6" type="noConversion"/>
  </si>
  <si>
    <t>BNP FP Equity</t>
  </si>
  <si>
    <t>A+</t>
  </si>
  <si>
    <t>A1</t>
    <phoneticPr fontId="6" type="noConversion"/>
  </si>
  <si>
    <t>法國巴黎銀行有限責任公司</t>
  </si>
  <si>
    <t>56243Z LN Equity</t>
  </si>
  <si>
    <t>摩根士丹利國際公開有限公司</t>
  </si>
  <si>
    <t>CS</t>
  </si>
  <si>
    <t>SVBZK SW Equity</t>
  </si>
  <si>
    <t>瑞士信貸有限公司</t>
  </si>
  <si>
    <t>GLE FP Equity</t>
  </si>
  <si>
    <t>法國興業銀行股份有限公司</t>
  </si>
  <si>
    <t>331900Z FP Equity</t>
  </si>
  <si>
    <t>東方匯理企業及投資銀行股份有限公司</t>
  </si>
  <si>
    <t>瑞銀股份有限公司</t>
  </si>
  <si>
    <t>UBSN SW Equity</t>
    <phoneticPr fontId="6" type="noConversion"/>
  </si>
  <si>
    <t>KN FP Equity</t>
  </si>
  <si>
    <t>法國外貿銀行股份有限公司</t>
  </si>
  <si>
    <t>C US Equity</t>
  </si>
  <si>
    <t>BBB+</t>
  </si>
  <si>
    <t>花旗集團</t>
  </si>
  <si>
    <t>8604 JP Equity</t>
  </si>
  <si>
    <t>Baa1</t>
  </si>
  <si>
    <t>野村控股公司</t>
  </si>
  <si>
    <t>巴克萊銀行公開有限公司</t>
  </si>
  <si>
    <t>8376923Z LN Equity</t>
  </si>
  <si>
    <t>GS US Equity</t>
  </si>
  <si>
    <t>高盛集團</t>
  </si>
  <si>
    <t>8147Z US Equity</t>
    <phoneticPr fontId="6" type="noConversion"/>
  </si>
  <si>
    <t>AA-</t>
    <phoneticPr fontId="6" type="noConversion"/>
  </si>
  <si>
    <t>AA</t>
    <phoneticPr fontId="6" type="noConversion"/>
  </si>
  <si>
    <t>Aa2</t>
    <phoneticPr fontId="6" type="noConversion"/>
  </si>
  <si>
    <t>摩根大通銀行</t>
  </si>
  <si>
    <t>摩根大通銀行全國協會</t>
  </si>
  <si>
    <t>HSBCZ HK Equity</t>
  </si>
  <si>
    <t>香港上海匯豐銀行有限公司</t>
  </si>
  <si>
    <t>2257Z LN</t>
    <phoneticPr fontId="6" type="noConversion"/>
  </si>
  <si>
    <t>渣打銀行股份有限公司</t>
    <phoneticPr fontId="6" type="noConversion"/>
  </si>
  <si>
    <t>UAL UW</t>
  </si>
  <si>
    <t>CSX UW</t>
  </si>
  <si>
    <t>COIN UW</t>
  </si>
  <si>
    <t>NFLX UW</t>
  </si>
  <si>
    <t>ASML UW</t>
  </si>
  <si>
    <t>ARM UW</t>
  </si>
  <si>
    <t>ERIC UW</t>
  </si>
  <si>
    <t>ISRG UW</t>
  </si>
  <si>
    <t>CDNS UW</t>
  </si>
  <si>
    <t>BIIB UW</t>
  </si>
  <si>
    <t>SMCI UW</t>
  </si>
  <si>
    <t>MLCO UW</t>
  </si>
  <si>
    <t>META UW</t>
  </si>
  <si>
    <t>TXN UW</t>
  </si>
  <si>
    <t>ALXN UW</t>
  </si>
  <si>
    <t>EBAY UW</t>
  </si>
  <si>
    <t>LRCX UW</t>
  </si>
  <si>
    <t>NDAQ UW</t>
  </si>
  <si>
    <t>PYPL UW</t>
  </si>
  <si>
    <t>VRTX UW</t>
  </si>
  <si>
    <t>MSFT UW</t>
  </si>
  <si>
    <t>MSTR UW</t>
  </si>
  <si>
    <t>ALGN UW</t>
  </si>
  <si>
    <t>AMZN UW</t>
  </si>
  <si>
    <t>CMCSA UW</t>
  </si>
  <si>
    <t>FSLR UW</t>
  </si>
  <si>
    <t>GILD UW</t>
  </si>
  <si>
    <t>ILMN UW</t>
  </si>
  <si>
    <t>INTC UW</t>
  </si>
  <si>
    <t>TMUS UW</t>
  </si>
  <si>
    <t>GT UW</t>
  </si>
  <si>
    <t>CHKP UW</t>
  </si>
  <si>
    <t>GOOG UW</t>
  </si>
  <si>
    <t>GOOGL UW</t>
  </si>
  <si>
    <t>WBA UW</t>
  </si>
  <si>
    <t>AMD UW</t>
  </si>
  <si>
    <t>AMGN UW</t>
  </si>
  <si>
    <t>BIDU UW</t>
  </si>
  <si>
    <t>CHRW UW</t>
  </si>
  <si>
    <t>EA UW</t>
  </si>
  <si>
    <t>INCY UW</t>
  </si>
  <si>
    <t>AAPL UW</t>
  </si>
  <si>
    <t>APA UW</t>
  </si>
  <si>
    <t>CME UW</t>
  </si>
  <si>
    <t>CRTO UW</t>
  </si>
  <si>
    <t>CTSH UW</t>
  </si>
  <si>
    <t>EQIX UW</t>
  </si>
  <si>
    <t>FB UW</t>
  </si>
  <si>
    <t>MAT UW</t>
  </si>
  <si>
    <t>MDLZ UW</t>
  </si>
  <si>
    <t>SBUX UW</t>
  </si>
  <si>
    <t>SFM UW</t>
  </si>
  <si>
    <t>WYNN UW</t>
  </si>
  <si>
    <t>CREE UW</t>
  </si>
  <si>
    <t>EXC UW</t>
  </si>
  <si>
    <t>JOBS UW</t>
  </si>
  <si>
    <t>KHC UW</t>
  </si>
  <si>
    <t>STX UW</t>
  </si>
  <si>
    <t>CSIQ UW</t>
  </si>
  <si>
    <t>VOD UW</t>
  </si>
  <si>
    <t>CSCO UW</t>
  </si>
  <si>
    <t>AMAT UW</t>
  </si>
  <si>
    <t>JD UW</t>
  </si>
  <si>
    <t>ADI UW</t>
  </si>
  <si>
    <t>PDD UW</t>
  </si>
  <si>
    <t>SPLK UW</t>
  </si>
  <si>
    <t>MAR UW</t>
  </si>
  <si>
    <t>ENDP UW</t>
  </si>
  <si>
    <t>FOSL UW</t>
  </si>
  <si>
    <t>GLNG UW</t>
  </si>
  <si>
    <t>REGN UW</t>
  </si>
  <si>
    <t>EXPE UW</t>
  </si>
  <si>
    <t>FOXA UW</t>
  </si>
  <si>
    <t>MYL UW</t>
  </si>
  <si>
    <t>NTES UW</t>
  </si>
  <si>
    <t>QCOM UW</t>
  </si>
  <si>
    <t>SINA UW</t>
  </si>
  <si>
    <t>TRIP UW</t>
  </si>
  <si>
    <t>ATVI UW</t>
  </si>
  <si>
    <t>BKNG UW</t>
  </si>
  <si>
    <t>GPRO UW</t>
  </si>
  <si>
    <t>NBL UW</t>
  </si>
  <si>
    <t>SWKS UW</t>
  </si>
  <si>
    <t>LI UW</t>
  </si>
  <si>
    <t>ADBE UW</t>
  </si>
  <si>
    <t>COST UW</t>
  </si>
  <si>
    <t>MU UW</t>
  </si>
  <si>
    <t>CONN UW</t>
  </si>
  <si>
    <t>WDAY UW</t>
  </si>
  <si>
    <t>TCOM UW</t>
  </si>
  <si>
    <t>ON UW</t>
  </si>
  <si>
    <t>MRVL UW</t>
  </si>
  <si>
    <t>ULTA UW</t>
  </si>
  <si>
    <t>PEP UW</t>
  </si>
  <si>
    <t>CHTR UW</t>
  </si>
  <si>
    <t>RYAAY UW</t>
  </si>
  <si>
    <t>XLNX UW</t>
  </si>
  <si>
    <t>IRBT UW</t>
  </si>
  <si>
    <t>BYND UW</t>
  </si>
  <si>
    <t>IQ UW</t>
  </si>
  <si>
    <t>ZM UW</t>
  </si>
  <si>
    <t>LULU UW</t>
  </si>
  <si>
    <t>DOCU UW</t>
  </si>
  <si>
    <t>OKTA UW</t>
  </si>
  <si>
    <t>ZS UW</t>
  </si>
  <si>
    <t>BNTX UW</t>
  </si>
  <si>
    <t>INO UW</t>
  </si>
  <si>
    <t>DXCM UW</t>
  </si>
  <si>
    <t>PTON UW</t>
  </si>
  <si>
    <t>LYFT UW</t>
  </si>
  <si>
    <t>SNPS UW</t>
  </si>
  <si>
    <t>MRNA UW</t>
  </si>
  <si>
    <t>CRWD UW</t>
  </si>
  <si>
    <t>MELI UW</t>
  </si>
  <si>
    <t>KLAC UW</t>
  </si>
  <si>
    <t>BILI UW</t>
  </si>
  <si>
    <t>REAL UW</t>
  </si>
  <si>
    <t>DLTR UW</t>
  </si>
  <si>
    <t>ROKU UW</t>
  </si>
  <si>
    <t>GDRX UW</t>
  </si>
  <si>
    <t>SEDG UW</t>
  </si>
  <si>
    <t>TLRY UW</t>
  </si>
  <si>
    <t>AAL UW</t>
  </si>
  <si>
    <t>PLTR UW</t>
  </si>
  <si>
    <t>DDOG UW</t>
  </si>
  <si>
    <t>NVCR UW</t>
  </si>
  <si>
    <t>UNCY UW</t>
  </si>
  <si>
    <t>UPST UW</t>
  </si>
  <si>
    <t>ABNB UW</t>
  </si>
  <si>
    <t>RIVN UW</t>
  </si>
  <si>
    <t>RUN UW</t>
  </si>
  <si>
    <t>NVAX UW</t>
  </si>
  <si>
    <t>AFRM UW</t>
  </si>
  <si>
    <t>SNY UW</t>
  </si>
  <si>
    <t>BMRN UW</t>
  </si>
  <si>
    <t>NXPI UW</t>
  </si>
  <si>
    <t>PANW UW</t>
  </si>
  <si>
    <t>DPZ UW</t>
  </si>
  <si>
    <t>TEM UW</t>
  </si>
  <si>
    <t>SOFI UW</t>
  </si>
  <si>
    <t>NBIS UW</t>
  </si>
  <si>
    <t>HOOD UW</t>
  </si>
  <si>
    <t>APP UW</t>
  </si>
  <si>
    <t>FTNT UW</t>
  </si>
  <si>
    <t>AAXJ UQ</t>
  </si>
  <si>
    <t>ACWI UQ</t>
  </si>
  <si>
    <t>DVY UQ</t>
  </si>
  <si>
    <t>EEMA UQ</t>
  </si>
  <si>
    <t>EMB UQ</t>
  </si>
  <si>
    <t>EUFN UQ</t>
  </si>
  <si>
    <t>IBB UQ</t>
  </si>
  <si>
    <t>IEF UQ</t>
  </si>
  <si>
    <t>IEI UQ</t>
  </si>
  <si>
    <t>MCHI UQ</t>
  </si>
  <si>
    <t>QQQ UQ</t>
  </si>
  <si>
    <t>SHY UQ</t>
  </si>
  <si>
    <t>SLQD UQ</t>
  </si>
  <si>
    <t>SMH UQ</t>
  </si>
  <si>
    <t>TLT UQ</t>
  </si>
  <si>
    <t>VCSH UQ</t>
  </si>
  <si>
    <t>VONE UQ</t>
  </si>
  <si>
    <t>VTHR UQ</t>
  </si>
  <si>
    <t>VTWO UQ</t>
  </si>
  <si>
    <t>CRSP UQ</t>
  </si>
  <si>
    <t>ENPH UQ</t>
  </si>
  <si>
    <t>TELA  UQ</t>
  </si>
  <si>
    <t>AGG UP</t>
  </si>
  <si>
    <t>ASHR UP</t>
  </si>
  <si>
    <t>CGW UP</t>
  </si>
  <si>
    <t>DBJP UP</t>
  </si>
  <si>
    <t>DVYE UP</t>
  </si>
  <si>
    <t>EEM UP</t>
  </si>
  <si>
    <t>EIDO UP</t>
  </si>
  <si>
    <t>EWA UP</t>
  </si>
  <si>
    <t>EWC UP</t>
  </si>
  <si>
    <t>EWG UP</t>
  </si>
  <si>
    <t>EWJ UP</t>
  </si>
  <si>
    <t>EWM UP</t>
  </si>
  <si>
    <t>EWP UP</t>
  </si>
  <si>
    <t>EWS UP</t>
  </si>
  <si>
    <t>EWT UP</t>
  </si>
  <si>
    <t>EWW UP</t>
  </si>
  <si>
    <t>EWZ UP</t>
  </si>
  <si>
    <t>FEZ UP</t>
  </si>
  <si>
    <t>FXI UP</t>
  </si>
  <si>
    <t>GDX UP</t>
  </si>
  <si>
    <t>GDXJ UP</t>
  </si>
  <si>
    <t>GLD UP</t>
  </si>
  <si>
    <t>HEWJ UP</t>
  </si>
  <si>
    <t>HYG UP</t>
  </si>
  <si>
    <t>IEMG UP</t>
  </si>
  <si>
    <t>IJH UP</t>
  </si>
  <si>
    <t>IJR UP</t>
  </si>
  <si>
    <t>IOO UP</t>
  </si>
  <si>
    <t>IVV UP</t>
  </si>
  <si>
    <t>IWM UP</t>
  </si>
  <si>
    <t>IWV UP</t>
  </si>
  <si>
    <t>KBE UP</t>
  </si>
  <si>
    <t>LQD UP</t>
  </si>
  <si>
    <t>MDY UP</t>
  </si>
  <si>
    <t>OIH UP</t>
  </si>
  <si>
    <t>RWO UP</t>
  </si>
  <si>
    <t>SLV UP</t>
  </si>
  <si>
    <t>SPIB UP</t>
  </si>
  <si>
    <t>SPTL UP</t>
  </si>
  <si>
    <t>SPY UP</t>
  </si>
  <si>
    <t>TIP UP</t>
  </si>
  <si>
    <t>URTH UP</t>
  </si>
  <si>
    <t>VIOO UP</t>
  </si>
  <si>
    <t>VNQ UP</t>
  </si>
  <si>
    <t>VOO UP</t>
  </si>
  <si>
    <t>VYM UP</t>
  </si>
  <si>
    <t>XBI UP</t>
  </si>
  <si>
    <t>XLE UP</t>
  </si>
  <si>
    <t>XLF UP</t>
  </si>
  <si>
    <t>XLK UP</t>
  </si>
  <si>
    <t>XLU UP</t>
  </si>
  <si>
    <t>XLV UP</t>
  </si>
  <si>
    <t>XME UP</t>
  </si>
  <si>
    <t>XOP UP</t>
  </si>
  <si>
    <t>DIA UP</t>
  </si>
  <si>
    <t>SOXX UP</t>
  </si>
  <si>
    <t>KRE UP</t>
  </si>
  <si>
    <t>ARKK UP</t>
  </si>
  <si>
    <t>IHI UP</t>
  </si>
  <si>
    <t>VTI UP</t>
  </si>
  <si>
    <t>XLI UP</t>
  </si>
  <si>
    <t>XPEV UN</t>
  </si>
  <si>
    <t>SRG UN</t>
  </si>
  <si>
    <t>INFY UN</t>
  </si>
  <si>
    <t>C UN</t>
  </si>
  <si>
    <t>JPM UN</t>
  </si>
  <si>
    <t>UNH UN</t>
  </si>
  <si>
    <t>BAC UN</t>
  </si>
  <si>
    <t>BK UN</t>
  </si>
  <si>
    <t>BLK UN</t>
  </si>
  <si>
    <t>GS UN</t>
  </si>
  <si>
    <t>KMI UN</t>
  </si>
  <si>
    <t>SCHW UN</t>
  </si>
  <si>
    <t>USB UN</t>
  </si>
  <si>
    <t>AA UN</t>
  </si>
  <si>
    <t>STZ UN</t>
  </si>
  <si>
    <t>IBM UN</t>
  </si>
  <si>
    <t>JNJ UN</t>
  </si>
  <si>
    <t>WFC UN</t>
  </si>
  <si>
    <t>ABT UN</t>
  </si>
  <si>
    <t>LEN UN</t>
  </si>
  <si>
    <t>HON UN</t>
  </si>
  <si>
    <t>MS UN</t>
  </si>
  <si>
    <t>PM UN</t>
  </si>
  <si>
    <t>UNP UN</t>
  </si>
  <si>
    <t>AXP UN</t>
  </si>
  <si>
    <t>KO UN</t>
  </si>
  <si>
    <t>KSU UN</t>
  </si>
  <si>
    <t>MAN UN</t>
  </si>
  <si>
    <t>SLB UN</t>
  </si>
  <si>
    <t>STT UN</t>
  </si>
  <si>
    <t>SYF UN</t>
  </si>
  <si>
    <t>HAL UN</t>
  </si>
  <si>
    <t>EDU UN</t>
  </si>
  <si>
    <t>EQR UN</t>
  </si>
  <si>
    <t>KMB UN</t>
  </si>
  <si>
    <t>LMT UN</t>
  </si>
  <si>
    <t>MCD UN</t>
  </si>
  <si>
    <t>NUE UN</t>
  </si>
  <si>
    <t>PG UN</t>
  </si>
  <si>
    <t>SKX UN</t>
  </si>
  <si>
    <t>SNAP UN</t>
  </si>
  <si>
    <t>TRV UN</t>
  </si>
  <si>
    <t>UPS UN</t>
  </si>
  <si>
    <t>ANTM UN</t>
  </si>
  <si>
    <t>APH UN</t>
  </si>
  <si>
    <t>BA UN</t>
  </si>
  <si>
    <t>BSX UN</t>
  </si>
  <si>
    <t>BX UN</t>
  </si>
  <si>
    <t>CAT UN</t>
  </si>
  <si>
    <t>CLF UN</t>
  </si>
  <si>
    <t>CMG UN</t>
  </si>
  <si>
    <t>EW UN</t>
  </si>
  <si>
    <t>FCX UN</t>
  </si>
  <si>
    <t>HLT UN</t>
  </si>
  <si>
    <t>HRI UN</t>
  </si>
  <si>
    <t>IVZ UN</t>
  </si>
  <si>
    <t>LLY UN</t>
  </si>
  <si>
    <t>LVS UN</t>
  </si>
  <si>
    <t>NSC UN</t>
  </si>
  <si>
    <t>TMO UN</t>
  </si>
  <si>
    <t>WM UN</t>
  </si>
  <si>
    <t>AEP UN</t>
  </si>
  <si>
    <t>BAX UN</t>
  </si>
  <si>
    <t>CX UN</t>
  </si>
  <si>
    <t>DHR UN</t>
  </si>
  <si>
    <t>DOW UN</t>
  </si>
  <si>
    <t>F UN</t>
  </si>
  <si>
    <t>JNPR UN</t>
  </si>
  <si>
    <t>LUV UN</t>
  </si>
  <si>
    <t>MMM UN</t>
  </si>
  <si>
    <t>NOC UN</t>
  </si>
  <si>
    <t>NOK UN</t>
  </si>
  <si>
    <t>PAC UN</t>
  </si>
  <si>
    <t>PBR UN</t>
  </si>
  <si>
    <t>PCG UN</t>
  </si>
  <si>
    <t>SWN UN</t>
  </si>
  <si>
    <t>TAL UN</t>
  </si>
  <si>
    <t>TV UN</t>
  </si>
  <si>
    <t>TWTR UN</t>
  </si>
  <si>
    <t>V UN</t>
  </si>
  <si>
    <t>VALE UN</t>
  </si>
  <si>
    <t>VLO UN</t>
  </si>
  <si>
    <t>ABEV UN</t>
  </si>
  <si>
    <t>BCS UN</t>
  </si>
  <si>
    <t>COF UN</t>
  </si>
  <si>
    <t>ITW UN</t>
  </si>
  <si>
    <t>KOF UN</t>
  </si>
  <si>
    <t>PSX UN</t>
  </si>
  <si>
    <t>VFC UN</t>
  </si>
  <si>
    <t>VZ UN</t>
  </si>
  <si>
    <t>IBN UN</t>
  </si>
  <si>
    <t>FMX UN</t>
  </si>
  <si>
    <t>HSBC UN</t>
  </si>
  <si>
    <t>NOV UN</t>
  </si>
  <si>
    <t>SPOT UN</t>
  </si>
  <si>
    <t>T UN</t>
  </si>
  <si>
    <t>VNO UN</t>
  </si>
  <si>
    <t>WELL UN</t>
  </si>
  <si>
    <t>WOLF UN</t>
  </si>
  <si>
    <t>BP UN</t>
  </si>
  <si>
    <t>COP UN</t>
  </si>
  <si>
    <t>ETN UN</t>
  </si>
  <si>
    <t>GLW UN</t>
  </si>
  <si>
    <t>GM UN</t>
  </si>
  <si>
    <t>GNW UN</t>
  </si>
  <si>
    <t>HLF UN</t>
  </si>
  <si>
    <t>K UN</t>
  </si>
  <si>
    <t>MA UN</t>
  </si>
  <si>
    <t>MRK UN</t>
  </si>
  <si>
    <t>PFE UN</t>
  </si>
  <si>
    <t>PSA UN</t>
  </si>
  <si>
    <t>SLCA UN</t>
  </si>
  <si>
    <t>SYK UN</t>
  </si>
  <si>
    <t>TPR UN</t>
  </si>
  <si>
    <t>VMC UN</t>
  </si>
  <si>
    <t>HCA UN</t>
  </si>
  <si>
    <t>ALL UN</t>
  </si>
  <si>
    <t>BABA UN</t>
  </si>
  <si>
    <t>BKR UN</t>
  </si>
  <si>
    <t>CF UN</t>
  </si>
  <si>
    <t>DDD UN</t>
  </si>
  <si>
    <t>ETR UN</t>
  </si>
  <si>
    <t>GE UN</t>
  </si>
  <si>
    <t>H UN</t>
  </si>
  <si>
    <t>HES UN</t>
  </si>
  <si>
    <t>MCK UN</t>
  </si>
  <si>
    <t>MET UN</t>
  </si>
  <si>
    <t>MGM UN</t>
  </si>
  <si>
    <t>NE UN</t>
  </si>
  <si>
    <t>RSG UN</t>
  </si>
  <si>
    <t>SO UN</t>
  </si>
  <si>
    <t>SPG UN</t>
  </si>
  <si>
    <t>TOT UN</t>
  </si>
  <si>
    <t>X UN</t>
  </si>
  <si>
    <t>YUM UN</t>
  </si>
  <si>
    <t>YUMC UN</t>
  </si>
  <si>
    <t>ADM UN</t>
  </si>
  <si>
    <t>AIG UN</t>
  </si>
  <si>
    <t>AMT UN</t>
  </si>
  <si>
    <t>BBD UN</t>
  </si>
  <si>
    <t>BMY UN</t>
  </si>
  <si>
    <t>BWA UN</t>
  </si>
  <si>
    <t>CI UN</t>
  </si>
  <si>
    <t>DD UN</t>
  </si>
  <si>
    <t>EL UN</t>
  </si>
  <si>
    <t>FLR UN</t>
  </si>
  <si>
    <t>ICE UN</t>
  </si>
  <si>
    <t>MO UN</t>
  </si>
  <si>
    <t>MUR UN</t>
  </si>
  <si>
    <t>RDS/A UN</t>
  </si>
  <si>
    <t>XYL UN</t>
  </si>
  <si>
    <t>ABBV UN</t>
  </si>
  <si>
    <t>CL UN</t>
  </si>
  <si>
    <t>CVX UN</t>
  </si>
  <si>
    <t>D UN</t>
  </si>
  <si>
    <t>RDY UN</t>
  </si>
  <si>
    <t>WU UN</t>
  </si>
  <si>
    <t>XOM UN</t>
  </si>
  <si>
    <t>VIPS UN</t>
  </si>
  <si>
    <t>DHI UN</t>
  </si>
  <si>
    <t>ERJ UN</t>
  </si>
  <si>
    <t>LIN UN</t>
  </si>
  <si>
    <t>TSN UN</t>
  </si>
  <si>
    <t>WUBA UN</t>
  </si>
  <si>
    <t>MBT UN</t>
  </si>
  <si>
    <t>TTM UN</t>
  </si>
  <si>
    <t>WMT UN</t>
  </si>
  <si>
    <t>HD UN</t>
  </si>
  <si>
    <t>KSS UN</t>
  </si>
  <si>
    <t>MDT UN</t>
  </si>
  <si>
    <t>TJX UN</t>
  </si>
  <si>
    <t>BITA UN</t>
  </si>
  <si>
    <t>LB UN</t>
  </si>
  <si>
    <t>LOW UN</t>
  </si>
  <si>
    <t>TGT UN</t>
  </si>
  <si>
    <t>GPS UN</t>
  </si>
  <si>
    <t>JWN UN</t>
  </si>
  <si>
    <t>M UN</t>
  </si>
  <si>
    <t>QD UN</t>
  </si>
  <si>
    <t>BBY UN</t>
  </si>
  <si>
    <t>ANF UN</t>
  </si>
  <si>
    <t>CRM UN</t>
  </si>
  <si>
    <t>DE UN</t>
  </si>
  <si>
    <t>HPQ UN</t>
  </si>
  <si>
    <t>PVH UN</t>
  </si>
  <si>
    <t>BRK/A UN</t>
  </si>
  <si>
    <t>BRK/B UN</t>
  </si>
  <si>
    <t>HTZ UN</t>
  </si>
  <si>
    <t>ITUB UN</t>
  </si>
  <si>
    <t>OXY UN</t>
  </si>
  <si>
    <t>PRU UN</t>
  </si>
  <si>
    <t>PXD UN</t>
  </si>
  <si>
    <t>SYY UN</t>
  </si>
  <si>
    <t>UA UN</t>
  </si>
  <si>
    <t>UAA UN</t>
  </si>
  <si>
    <t>BDX UN</t>
  </si>
  <si>
    <t>DVN UN</t>
  </si>
  <si>
    <t>EMR UN</t>
  </si>
  <si>
    <t>MNK UN</t>
  </si>
  <si>
    <t>MOS UN</t>
  </si>
  <si>
    <t>NEM UN</t>
  </si>
  <si>
    <t>NUS UN</t>
  </si>
  <si>
    <t>TSU UN</t>
  </si>
  <si>
    <t>VIV UN</t>
  </si>
  <si>
    <t>WLL UN</t>
  </si>
  <si>
    <t>ALB UN</t>
  </si>
  <si>
    <t>CTL UN</t>
  </si>
  <si>
    <t>CVS UN</t>
  </si>
  <si>
    <t>MRO UN</t>
  </si>
  <si>
    <t>ROK UN</t>
  </si>
  <si>
    <t>SPR UN</t>
  </si>
  <si>
    <t>SQ UN</t>
  </si>
  <si>
    <t>ZTO UN</t>
  </si>
  <si>
    <t>APD UN</t>
  </si>
  <si>
    <t>DIS UN</t>
  </si>
  <si>
    <t>EOG UN</t>
  </si>
  <si>
    <t>JCI UN</t>
  </si>
  <si>
    <t>RL UN</t>
  </si>
  <si>
    <t>TDC UN</t>
  </si>
  <si>
    <t>TEVA UN</t>
  </si>
  <si>
    <t>TM UN</t>
  </si>
  <si>
    <t>DUK UN</t>
  </si>
  <si>
    <t>KR UN</t>
  </si>
  <si>
    <t>ORCL UN</t>
  </si>
  <si>
    <t>FDX UN</t>
  </si>
  <si>
    <t>ACN UN</t>
  </si>
  <si>
    <t>GIS UN</t>
  </si>
  <si>
    <t>NKE UN</t>
  </si>
  <si>
    <t>GWRE UN</t>
  </si>
  <si>
    <t>GME UN</t>
  </si>
  <si>
    <t>TIF UN</t>
  </si>
  <si>
    <t>OMC UN</t>
  </si>
  <si>
    <t>AMX UN</t>
  </si>
  <si>
    <t>BHP UN</t>
  </si>
  <si>
    <t>SU UN</t>
  </si>
  <si>
    <t>DG UN</t>
  </si>
  <si>
    <t>HDB UN</t>
  </si>
  <si>
    <t>NOW UN</t>
  </si>
  <si>
    <t>UBER UN</t>
  </si>
  <si>
    <t>LN UN</t>
  </si>
  <si>
    <t>DB UN</t>
  </si>
  <si>
    <t>GOLD UN</t>
  </si>
  <si>
    <t>PTR UN</t>
  </si>
  <si>
    <t>MCO UN</t>
  </si>
  <si>
    <t>NIO UN</t>
  </si>
  <si>
    <t>RACE UN</t>
  </si>
  <si>
    <t>SAVE UN</t>
  </si>
  <si>
    <t>ATI UN</t>
  </si>
  <si>
    <t>SHOP UN</t>
  </si>
  <si>
    <t>RH UN</t>
  </si>
  <si>
    <t>LMND UN</t>
  </si>
  <si>
    <t>SHAK UN</t>
  </si>
  <si>
    <t>RTX UN</t>
  </si>
  <si>
    <t>TDOC UN</t>
  </si>
  <si>
    <t>SE UN</t>
  </si>
  <si>
    <t>NEE UN</t>
  </si>
  <si>
    <t>FIS UN</t>
  </si>
  <si>
    <t>GPN UN</t>
  </si>
  <si>
    <t>PLD UN</t>
  </si>
  <si>
    <t>CTVA UN</t>
  </si>
  <si>
    <t>SNOW UN</t>
  </si>
  <si>
    <t>PHG UN</t>
  </si>
  <si>
    <t>WORK UN</t>
  </si>
  <si>
    <t>FSLY UN</t>
  </si>
  <si>
    <t>CLX UN</t>
  </si>
  <si>
    <t>PINS UN</t>
  </si>
  <si>
    <t>U UN</t>
  </si>
  <si>
    <t>AMC UN</t>
  </si>
  <si>
    <t>SNE UN</t>
  </si>
  <si>
    <t>NCLH UN</t>
  </si>
  <si>
    <t>QS UN</t>
  </si>
  <si>
    <t>IQV UN</t>
  </si>
  <si>
    <t>AWR UN</t>
  </si>
  <si>
    <t>LYB UN</t>
  </si>
  <si>
    <t>BCC UN</t>
  </si>
  <si>
    <t>FTCH UN</t>
  </si>
  <si>
    <t>UMC UN</t>
  </si>
  <si>
    <t>CHT UN</t>
  </si>
  <si>
    <t>MT UN</t>
  </si>
  <si>
    <t>NVO UN</t>
  </si>
  <si>
    <t>STM UN</t>
  </si>
  <si>
    <t>BG UN</t>
  </si>
  <si>
    <t>CHPT UN</t>
  </si>
  <si>
    <t>BTI UN</t>
  </si>
  <si>
    <t>DECK UN</t>
  </si>
  <si>
    <t>NOVA UN</t>
  </si>
  <si>
    <t>VST UN</t>
  </si>
  <si>
    <t>DELL UN</t>
  </si>
  <si>
    <t>ONTO UN</t>
  </si>
  <si>
    <t>SONY UN</t>
  </si>
  <si>
    <t>TTD UN</t>
  </si>
  <si>
    <t>XYZ UN</t>
  </si>
  <si>
    <t>VRT UN</t>
  </si>
  <si>
    <t>1321 JT</t>
  </si>
  <si>
    <t>1329 JT</t>
  </si>
  <si>
    <t>1364 JT</t>
  </si>
  <si>
    <t>2651 JT</t>
  </si>
  <si>
    <t>3382 JT</t>
  </si>
  <si>
    <t>3289 JT</t>
  </si>
  <si>
    <t>9983 JT</t>
  </si>
  <si>
    <t>8954 JT</t>
  </si>
  <si>
    <t>6594 JT</t>
  </si>
  <si>
    <t>6146 JT</t>
  </si>
  <si>
    <t>4063 JT</t>
  </si>
  <si>
    <t>6305 JT</t>
  </si>
  <si>
    <t>6954 JT</t>
  </si>
  <si>
    <t>6988 JT</t>
  </si>
  <si>
    <t>7751 JT</t>
  </si>
  <si>
    <t>8591 JT</t>
  </si>
  <si>
    <t>8001 JT</t>
  </si>
  <si>
    <t>8002 JT</t>
  </si>
  <si>
    <t>8031 JT</t>
  </si>
  <si>
    <t>8053 JT</t>
  </si>
  <si>
    <t>8058 JT</t>
  </si>
  <si>
    <t>8697 JT</t>
  </si>
  <si>
    <t>9020 JT</t>
  </si>
  <si>
    <t>9503 JT</t>
  </si>
  <si>
    <t>5214 JT</t>
  </si>
  <si>
    <t>6645 JT</t>
  </si>
  <si>
    <t>6702 JT</t>
  </si>
  <si>
    <t>7741 JT</t>
  </si>
  <si>
    <t>8604 JT</t>
  </si>
  <si>
    <t>9437 JT</t>
  </si>
  <si>
    <t>9532 JT</t>
  </si>
  <si>
    <t>1878 JT</t>
  </si>
  <si>
    <t>5201 JT</t>
  </si>
  <si>
    <t>6301 JT</t>
  </si>
  <si>
    <t>6501 JT</t>
  </si>
  <si>
    <t>6586 JT</t>
  </si>
  <si>
    <t>6758 JT</t>
  </si>
  <si>
    <t>6770 JT</t>
  </si>
  <si>
    <t>6857 JT</t>
  </si>
  <si>
    <t>7735 JT</t>
  </si>
  <si>
    <t>8601 JT</t>
  </si>
  <si>
    <t>9531 JT</t>
  </si>
  <si>
    <t>2914 JT</t>
  </si>
  <si>
    <t>4502 JT</t>
  </si>
  <si>
    <t>5332 JT</t>
  </si>
  <si>
    <t>5333 JT</t>
  </si>
  <si>
    <t>5938 JT</t>
  </si>
  <si>
    <t>6268 JT</t>
  </si>
  <si>
    <t>6302 JT</t>
  </si>
  <si>
    <t>6503 JT</t>
  </si>
  <si>
    <t>6504 JT</t>
  </si>
  <si>
    <t>6752 JT</t>
  </si>
  <si>
    <t>6762 JT</t>
  </si>
  <si>
    <t>6861 JT</t>
  </si>
  <si>
    <t>6963 JT</t>
  </si>
  <si>
    <t>6971 JT</t>
  </si>
  <si>
    <t>6981 JT</t>
  </si>
  <si>
    <t>7012 JT</t>
  </si>
  <si>
    <t>7974 JT</t>
  </si>
  <si>
    <t>8035 JT</t>
  </si>
  <si>
    <t>8136 JT</t>
  </si>
  <si>
    <t>9104 JT</t>
  </si>
  <si>
    <t>9107 JT</t>
  </si>
  <si>
    <t>9502 JT</t>
  </si>
  <si>
    <t>9504 JT</t>
  </si>
  <si>
    <t>9506 JT</t>
  </si>
  <si>
    <t>9508 JT</t>
  </si>
  <si>
    <t>9513 JT</t>
  </si>
  <si>
    <t>3401 JT</t>
  </si>
  <si>
    <t>4902 JT</t>
  </si>
  <si>
    <t>6753 JT</t>
  </si>
  <si>
    <t>6806 JT</t>
  </si>
  <si>
    <t>7013 JT</t>
  </si>
  <si>
    <t>7261 JT</t>
  </si>
  <si>
    <t>7752 JT</t>
  </si>
  <si>
    <t>7936 JT</t>
  </si>
  <si>
    <t>9433 JT</t>
  </si>
  <si>
    <t>1963 JT</t>
  </si>
  <si>
    <t>8570 JT</t>
  </si>
  <si>
    <t>8830 JT</t>
  </si>
  <si>
    <t>6361 JT</t>
  </si>
  <si>
    <t>6502 JT</t>
  </si>
  <si>
    <t>7272 JT</t>
  </si>
  <si>
    <t>8303 JT</t>
  </si>
  <si>
    <t>8306 JT</t>
  </si>
  <si>
    <t>8304 JT</t>
  </si>
  <si>
    <t>8309 JT</t>
  </si>
  <si>
    <t>8316 JT</t>
  </si>
  <si>
    <t>8411 JT</t>
  </si>
  <si>
    <t>8952 JT</t>
  </si>
  <si>
    <t>3861 JT</t>
  </si>
  <si>
    <t>6841 JT</t>
  </si>
  <si>
    <t>7269 JT</t>
  </si>
  <si>
    <t>3436 JT</t>
  </si>
  <si>
    <t>6367 JT</t>
  </si>
  <si>
    <t>6674 JT</t>
  </si>
  <si>
    <t>7211 JT</t>
  </si>
  <si>
    <t>9984 JT</t>
  </si>
  <si>
    <t>3099 JT</t>
  </si>
  <si>
    <t>3402 JT</t>
  </si>
  <si>
    <t>4755 JT</t>
  </si>
  <si>
    <t>6273 JT</t>
  </si>
  <si>
    <t>6326 JT</t>
  </si>
  <si>
    <t>6465 JT</t>
  </si>
  <si>
    <t>6479 JT</t>
  </si>
  <si>
    <t>6723 JT</t>
  </si>
  <si>
    <t>7203 JT</t>
  </si>
  <si>
    <t>7731 JT</t>
  </si>
  <si>
    <t>8331 JT</t>
  </si>
  <si>
    <t>8801 JT</t>
  </si>
  <si>
    <t>8802 JT</t>
  </si>
  <si>
    <t>5233 JT</t>
  </si>
  <si>
    <t>6370 JT</t>
  </si>
  <si>
    <t>6976 JT</t>
  </si>
  <si>
    <t>7186 JT</t>
  </si>
  <si>
    <t>7201 JT</t>
  </si>
  <si>
    <t>8308 JT</t>
  </si>
  <si>
    <t>8355 JT</t>
  </si>
  <si>
    <t>8951 JT</t>
  </si>
  <si>
    <t>9201 JT</t>
  </si>
  <si>
    <t>6178 JT</t>
  </si>
  <si>
    <t>6506 JT</t>
  </si>
  <si>
    <t>4062 JT</t>
  </si>
  <si>
    <t>4188 JT</t>
  </si>
  <si>
    <t>4568 JT</t>
  </si>
  <si>
    <t>7182 JT</t>
  </si>
  <si>
    <t>2875 JT</t>
  </si>
  <si>
    <t>6920 JT</t>
  </si>
  <si>
    <t>6902 JT</t>
  </si>
  <si>
    <t>2587 JT</t>
  </si>
  <si>
    <t>9142 JT</t>
  </si>
  <si>
    <t>2801 JT</t>
  </si>
  <si>
    <t>2800 HK</t>
  </si>
  <si>
    <t>2801 HK</t>
  </si>
  <si>
    <t>2822 HK</t>
  </si>
  <si>
    <t>2823 HK</t>
  </si>
  <si>
    <t>2828 HK</t>
  </si>
  <si>
    <t>3010 HK</t>
  </si>
  <si>
    <t>3188 HK</t>
  </si>
  <si>
    <t>82822 HK</t>
  </si>
  <si>
    <t>82823 HK</t>
  </si>
  <si>
    <t>83188 HK</t>
  </si>
  <si>
    <t>778 HK</t>
  </si>
  <si>
    <t>101 HK</t>
  </si>
  <si>
    <t>998 HK</t>
  </si>
  <si>
    <t>788 HK</t>
  </si>
  <si>
    <t>762 HK</t>
  </si>
  <si>
    <t>1313 HK</t>
  </si>
  <si>
    <t>902 HK</t>
  </si>
  <si>
    <t>3311 HK</t>
  </si>
  <si>
    <t>941 HK</t>
  </si>
  <si>
    <t>1071 HK</t>
  </si>
  <si>
    <t>2202 HK</t>
  </si>
  <si>
    <t>2318 HK</t>
  </si>
  <si>
    <t>1099 HK</t>
  </si>
  <si>
    <t>1928 HK</t>
  </si>
  <si>
    <t>2208 HK</t>
  </si>
  <si>
    <t>2333 HK</t>
  </si>
  <si>
    <t>3328 HK</t>
  </si>
  <si>
    <t>5 HK</t>
  </si>
  <si>
    <t>168 HK</t>
  </si>
  <si>
    <t>288 HK</t>
  </si>
  <si>
    <t>323 HK</t>
  </si>
  <si>
    <t>728 HK</t>
  </si>
  <si>
    <t>763 HK</t>
  </si>
  <si>
    <t>916 HK</t>
  </si>
  <si>
    <t>1088 HK</t>
  </si>
  <si>
    <t>1958 HK</t>
  </si>
  <si>
    <t>6881 HK</t>
  </si>
  <si>
    <t>285 HK</t>
  </si>
  <si>
    <t>347 HK</t>
  </si>
  <si>
    <t>358 HK</t>
  </si>
  <si>
    <t>670 HK</t>
  </si>
  <si>
    <t>1211 HK</t>
  </si>
  <si>
    <t>1398 HK</t>
  </si>
  <si>
    <t>2009 HK</t>
  </si>
  <si>
    <t>2196 HK</t>
  </si>
  <si>
    <t>2238 HK</t>
  </si>
  <si>
    <t>2600 HK</t>
  </si>
  <si>
    <t>2628 HK</t>
  </si>
  <si>
    <t>2899 HK</t>
  </si>
  <si>
    <t>3969 HK</t>
  </si>
  <si>
    <t>3993 HK</t>
  </si>
  <si>
    <t>386 HK</t>
  </si>
  <si>
    <t>390 HK</t>
  </si>
  <si>
    <t>753 HK</t>
  </si>
  <si>
    <t>816 HK</t>
  </si>
  <si>
    <t>857 HK</t>
  </si>
  <si>
    <t>880 HK</t>
  </si>
  <si>
    <t>939 HK</t>
  </si>
  <si>
    <t>991 HK</t>
  </si>
  <si>
    <t>1055 HK</t>
  </si>
  <si>
    <t>1138 HK</t>
  </si>
  <si>
    <t>1186 HK</t>
  </si>
  <si>
    <t>1288 HK</t>
  </si>
  <si>
    <t>1336 HK</t>
  </si>
  <si>
    <t>1766 HK</t>
  </si>
  <si>
    <t>1798 HK</t>
  </si>
  <si>
    <t>1800 HK</t>
  </si>
  <si>
    <t>1816 HK</t>
  </si>
  <si>
    <t>2282 HK</t>
  </si>
  <si>
    <t>2601 HK</t>
  </si>
  <si>
    <t>2883 HK</t>
  </si>
  <si>
    <t>2888 HK</t>
  </si>
  <si>
    <t>3606 HK</t>
  </si>
  <si>
    <t>3968 HK</t>
  </si>
  <si>
    <t>3988 HK</t>
  </si>
  <si>
    <t>6030 HK</t>
  </si>
  <si>
    <t>6837 HK</t>
  </si>
  <si>
    <t>522 HK</t>
  </si>
  <si>
    <t>2777 HK</t>
  </si>
  <si>
    <t>3323 HK</t>
  </si>
  <si>
    <t>3888 HK</t>
  </si>
  <si>
    <t>151 HK</t>
  </si>
  <si>
    <t>551 HK</t>
  </si>
  <si>
    <t>700 HK</t>
  </si>
  <si>
    <t>981 HK</t>
  </si>
  <si>
    <t>322 HK</t>
  </si>
  <si>
    <t>823 HK</t>
  </si>
  <si>
    <t>1093 HK</t>
  </si>
  <si>
    <t>1177 HK</t>
  </si>
  <si>
    <t>1810 HK</t>
  </si>
  <si>
    <t>1910 HK</t>
  </si>
  <si>
    <t>178 HK</t>
  </si>
  <si>
    <t>973 HK</t>
  </si>
  <si>
    <t>1317 HK</t>
  </si>
  <si>
    <t>6068 HK</t>
  </si>
  <si>
    <t>590 HK</t>
  </si>
  <si>
    <t>1929 HK</t>
  </si>
  <si>
    <t>388 HK</t>
  </si>
  <si>
    <t>945 HK</t>
  </si>
  <si>
    <t>1128 HK</t>
  </si>
  <si>
    <t>1347 HK</t>
  </si>
  <si>
    <t>2018 HK</t>
  </si>
  <si>
    <t>11 HK</t>
  </si>
  <si>
    <t>14 HK</t>
  </si>
  <si>
    <t>2778 HK</t>
  </si>
  <si>
    <t>6823 HK</t>
  </si>
  <si>
    <t>2 HK</t>
  </si>
  <si>
    <t>2020 HK</t>
  </si>
  <si>
    <t>2689 HK</t>
  </si>
  <si>
    <t>16 HK</t>
  </si>
  <si>
    <t>23 HK</t>
  </si>
  <si>
    <t>293 HK</t>
  </si>
  <si>
    <t>19 HK</t>
  </si>
  <si>
    <t>257 HK</t>
  </si>
  <si>
    <t>1038 HK</t>
  </si>
  <si>
    <t>1972 HK</t>
  </si>
  <si>
    <t>2269 HK</t>
  </si>
  <si>
    <t>1 HK</t>
  </si>
  <si>
    <t>1112 HK</t>
  </si>
  <si>
    <t>1966 HK</t>
  </si>
  <si>
    <t>688 HK</t>
  </si>
  <si>
    <t>1044 HK</t>
  </si>
  <si>
    <t>27 HK</t>
  </si>
  <si>
    <t>83 HK</t>
  </si>
  <si>
    <t>12 HK</t>
  </si>
  <si>
    <t>175 HK</t>
  </si>
  <si>
    <t>836 HK</t>
  </si>
  <si>
    <t>1818 HK</t>
  </si>
  <si>
    <t>2001 HK</t>
  </si>
  <si>
    <t>2331 HK</t>
  </si>
  <si>
    <t>2313 HK</t>
  </si>
  <si>
    <t>694 HK</t>
  </si>
  <si>
    <t>813 HK</t>
  </si>
  <si>
    <t>1114 HK</t>
  </si>
  <si>
    <t>371 HK</t>
  </si>
  <si>
    <t>489 HK</t>
  </si>
  <si>
    <t>1066 HK</t>
  </si>
  <si>
    <t>1169 HK</t>
  </si>
  <si>
    <t>2319 HK</t>
  </si>
  <si>
    <t>6808 HK</t>
  </si>
  <si>
    <t>200 HK</t>
  </si>
  <si>
    <t>520 HK</t>
  </si>
  <si>
    <t>552 HK</t>
  </si>
  <si>
    <t>581 HK</t>
  </si>
  <si>
    <t>636 HK</t>
  </si>
  <si>
    <t>1515 HK</t>
  </si>
  <si>
    <t>1628 HK</t>
  </si>
  <si>
    <t>1918 HK</t>
  </si>
  <si>
    <t>2388 HK</t>
  </si>
  <si>
    <t>3800 HK</t>
  </si>
  <si>
    <t>1212 HK</t>
  </si>
  <si>
    <t>1997 HK</t>
  </si>
  <si>
    <t>669 HK</t>
  </si>
  <si>
    <t>2038 HK</t>
  </si>
  <si>
    <t>1316 HK</t>
  </si>
  <si>
    <t>839 HK</t>
  </si>
  <si>
    <t>883 HK</t>
  </si>
  <si>
    <t>2328 HK</t>
  </si>
  <si>
    <t>6 HK</t>
  </si>
  <si>
    <t>87001 HK</t>
  </si>
  <si>
    <t>2638 HK</t>
  </si>
  <si>
    <t>2383 HK</t>
  </si>
  <si>
    <t>4 HK</t>
  </si>
  <si>
    <t>20 HK</t>
  </si>
  <si>
    <t>772 HK</t>
  </si>
  <si>
    <t>2314 HK</t>
  </si>
  <si>
    <t>2382 HK</t>
  </si>
  <si>
    <t>2386 HK</t>
  </si>
  <si>
    <t>2588 HK</t>
  </si>
  <si>
    <t>1109 HK</t>
  </si>
  <si>
    <t>69 HK</t>
  </si>
  <si>
    <t>425 HK</t>
  </si>
  <si>
    <t>3377 HK</t>
  </si>
  <si>
    <t>3383 HK</t>
  </si>
  <si>
    <t>1193 HK</t>
  </si>
  <si>
    <t>1299 HK</t>
  </si>
  <si>
    <t>1337 HK</t>
  </si>
  <si>
    <t>2007 HK</t>
  </si>
  <si>
    <t>3900 HK</t>
  </si>
  <si>
    <t>960 HK</t>
  </si>
  <si>
    <t>817 HK</t>
  </si>
  <si>
    <t>1813 HK</t>
  </si>
  <si>
    <t>1113 HK</t>
  </si>
  <si>
    <t>1913 HK</t>
  </si>
  <si>
    <t>220 HK</t>
  </si>
  <si>
    <t>9988 HK</t>
  </si>
  <si>
    <t>2359 HK</t>
  </si>
  <si>
    <t>1833 HK</t>
  </si>
  <si>
    <t>914 HK</t>
  </si>
  <si>
    <t>3690 HK</t>
  </si>
  <si>
    <t>9618 HK</t>
  </si>
  <si>
    <t>9999 HK</t>
  </si>
  <si>
    <t>291 HK</t>
  </si>
  <si>
    <t>9888 HK</t>
  </si>
  <si>
    <t>2015 HK</t>
  </si>
  <si>
    <t>4452 JT</t>
  </si>
  <si>
    <t>2503 JT</t>
  </si>
  <si>
    <t>9202 JT</t>
  </si>
  <si>
    <t>CRWV UW</t>
  </si>
  <si>
    <t>NVDA UQ</t>
  </si>
  <si>
    <t>MSFT UQ</t>
  </si>
  <si>
    <t>INTC UQ</t>
  </si>
  <si>
    <t>AAPL UQ</t>
  </si>
  <si>
    <t>TSLA UQ</t>
  </si>
  <si>
    <t>AMZN UQ</t>
  </si>
  <si>
    <t>META UQ</t>
  </si>
  <si>
    <t>BIDU UQ</t>
  </si>
  <si>
    <t>AMD UQ</t>
  </si>
  <si>
    <t>MU UQ</t>
  </si>
  <si>
    <t>AAL UQ</t>
  </si>
  <si>
    <t>QCOM UQ</t>
  </si>
  <si>
    <t>PYPL UQ</t>
  </si>
  <si>
    <t>NFLX UQ</t>
  </si>
  <si>
    <t>SMCI UQ</t>
  </si>
  <si>
    <t>ASML UQ</t>
  </si>
  <si>
    <t>UAL UQ</t>
  </si>
  <si>
    <t>MRVL UQ</t>
  </si>
  <si>
    <t>AVGO UQ</t>
  </si>
  <si>
    <t>ISRG UQ</t>
  </si>
  <si>
    <t>UPST UQ</t>
  </si>
  <si>
    <t>ON UQ</t>
  </si>
  <si>
    <t>GOOG UQ</t>
  </si>
  <si>
    <t>ADBE UQ</t>
  </si>
  <si>
    <t>PANW UQ</t>
  </si>
  <si>
    <t>CRWD UQ</t>
  </si>
  <si>
    <t>LULU UQ</t>
  </si>
  <si>
    <t>CMCSA UQ</t>
  </si>
  <si>
    <t>ARM UQ</t>
  </si>
  <si>
    <t>BKNG UQ</t>
  </si>
  <si>
    <t>COIN UQ</t>
  </si>
  <si>
    <t>COST UQ</t>
  </si>
  <si>
    <t>SOXX UQ</t>
  </si>
  <si>
    <t>GOOGL UQ</t>
  </si>
  <si>
    <t>BIIB UQ</t>
  </si>
  <si>
    <t>GILD UQ</t>
  </si>
  <si>
    <t>AMGN UQ</t>
  </si>
  <si>
    <t>EXPE UQ</t>
  </si>
  <si>
    <t>ABNB UQ</t>
  </si>
  <si>
    <t>FBYD UQ</t>
  </si>
  <si>
    <t>SBUX UQ</t>
  </si>
  <si>
    <t>RUN UQ</t>
  </si>
  <si>
    <t>AMAT UQ</t>
  </si>
  <si>
    <t>RIVN UQ</t>
  </si>
  <si>
    <t>INCY UQ</t>
  </si>
  <si>
    <t>PDD UQ</t>
  </si>
  <si>
    <t>ROKU UQ</t>
  </si>
  <si>
    <t>CSCO UQ</t>
  </si>
  <si>
    <t>BNTX UQ</t>
  </si>
  <si>
    <t>DDOG UQ</t>
  </si>
  <si>
    <t>EBAY UQ</t>
  </si>
  <si>
    <t>MAR UQ</t>
  </si>
  <si>
    <t>MRNA UQ</t>
  </si>
  <si>
    <t>NVCR UQ</t>
  </si>
  <si>
    <t>STX UQ</t>
  </si>
  <si>
    <t>UNCY UQ</t>
  </si>
  <si>
    <t>ZM UQ</t>
  </si>
  <si>
    <t>BYND UQ</t>
  </si>
  <si>
    <t>NVAX UQ</t>
  </si>
  <si>
    <t>AFRM UQ</t>
  </si>
  <si>
    <t>SNY UQ</t>
  </si>
  <si>
    <t>ALGN UQ</t>
  </si>
  <si>
    <t>ULTA UQ</t>
  </si>
  <si>
    <t>BMRN UQ</t>
  </si>
  <si>
    <t>WBA UQ</t>
  </si>
  <si>
    <t>MSTR UQ</t>
  </si>
  <si>
    <t>PLTR UQ</t>
  </si>
  <si>
    <t>CEG UQ</t>
  </si>
  <si>
    <t>TEM UQ</t>
  </si>
  <si>
    <t>RKLB UQ</t>
  </si>
  <si>
    <t>TTD UQ</t>
  </si>
  <si>
    <t>SPX</t>
    <phoneticPr fontId="6" type="noConversion"/>
  </si>
  <si>
    <t>HIS</t>
    <phoneticPr fontId="6" type="noConversion"/>
  </si>
  <si>
    <t>境外結構型商品承作檢核表</t>
  </si>
  <si>
    <t>Y</t>
    <phoneticPr fontId="2" type="noConversion"/>
  </si>
  <si>
    <t>Daily</t>
    <phoneticPr fontId="2" type="noConversion"/>
  </si>
  <si>
    <t>Coupon (%)</t>
    <phoneticPr fontId="2" type="noConversion"/>
  </si>
  <si>
    <t>AAL UN</t>
    <phoneticPr fontId="2" type="noConversion"/>
  </si>
  <si>
    <t>AGEN UR</t>
  </si>
  <si>
    <t>PLTR UN</t>
  </si>
  <si>
    <t>SPWR UW</t>
  </si>
  <si>
    <t>PLUG UR</t>
  </si>
  <si>
    <t>NXPI UP</t>
  </si>
  <si>
    <t>TEM UN</t>
  </si>
  <si>
    <t>PANW UN</t>
  </si>
  <si>
    <t>OKLO UN</t>
  </si>
  <si>
    <t>HIMS UN</t>
  </si>
  <si>
    <t>5801 JT</t>
  </si>
  <si>
    <t>TER UW</t>
  </si>
  <si>
    <t>ONON UN</t>
  </si>
  <si>
    <t>5803 JT</t>
  </si>
  <si>
    <t>DUOL UW</t>
  </si>
  <si>
    <t>6098 JT</t>
  </si>
  <si>
    <t>3993 JT</t>
  </si>
  <si>
    <t>3110 JT</t>
  </si>
  <si>
    <t>OSCR UN</t>
  </si>
  <si>
    <t>6526 JT</t>
  </si>
  <si>
    <t>LEU UA</t>
  </si>
  <si>
    <t>CEG UW</t>
  </si>
  <si>
    <t>RKLB UW</t>
  </si>
  <si>
    <t>LITE UW</t>
  </si>
  <si>
    <t>GEV UN</t>
  </si>
  <si>
    <t>SMR UN</t>
  </si>
  <si>
    <t>5401 JT</t>
  </si>
  <si>
    <t>9434 JT</t>
  </si>
  <si>
    <t>RCL UN</t>
    <phoneticPr fontId="2" type="noConversion"/>
  </si>
  <si>
    <t>CRWV UQ</t>
    <phoneticPr fontId="2" type="noConversion"/>
  </si>
  <si>
    <t>CRCL UN</t>
    <phoneticPr fontId="2" type="noConversion"/>
  </si>
  <si>
    <t>2802 JT</t>
    <phoneticPr fontId="2" type="noConversion"/>
  </si>
  <si>
    <t>*所屬指數</t>
    <phoneticPr fontId="2" type="noConversion"/>
  </si>
  <si>
    <t>SNDK UW</t>
  </si>
  <si>
    <t>SIL UP</t>
  </si>
  <si>
    <t>9432 JT</t>
  </si>
  <si>
    <t>8766 JT</t>
  </si>
  <si>
    <t>WMT UW</t>
  </si>
  <si>
    <t>6481 JT</t>
  </si>
  <si>
    <t>RKLB UR</t>
  </si>
  <si>
    <t>LEU UN</t>
  </si>
  <si>
    <t>BE UN</t>
  </si>
  <si>
    <t>8267 JT</t>
  </si>
  <si>
    <t>7532 JT</t>
  </si>
  <si>
    <t>Issue date</t>
    <phoneticPr fontId="2" type="noConversion"/>
  </si>
  <si>
    <t>T+</t>
    <phoneticPr fontId="2" type="noConversion"/>
  </si>
  <si>
    <t>(calendar days)</t>
    <phoneticPr fontId="2" type="noConversion"/>
  </si>
  <si>
    <t>Final valuation date</t>
    <phoneticPr fontId="2" type="noConversion"/>
  </si>
  <si>
    <t>Maturity date</t>
    <phoneticPr fontId="2" type="noConversion"/>
  </si>
  <si>
    <r>
      <rPr>
        <sz val="12"/>
        <color theme="1"/>
        <rFont val="Microsoft JhengHei"/>
        <family val="2"/>
      </rPr>
      <t>起單</t>
    </r>
    <r>
      <rPr>
        <sz val="12"/>
        <color theme="1"/>
        <rFont val="Calibri"/>
        <family val="2"/>
      </rPr>
      <t>FC</t>
    </r>
    <phoneticPr fontId="2" type="noConversion"/>
  </si>
  <si>
    <t>期初價格</t>
    <phoneticPr fontId="2" type="noConversion"/>
  </si>
  <si>
    <t>Trade date</t>
    <phoneticPr fontId="2" type="noConversion"/>
  </si>
  <si>
    <t>星期四</t>
  </si>
  <si>
    <t>星期六</t>
  </si>
  <si>
    <t>星期日</t>
  </si>
  <si>
    <t>星期一</t>
  </si>
  <si>
    <t>星期五</t>
  </si>
  <si>
    <t>(Juneteenth)</t>
  </si>
  <si>
    <t>(NewYear'sDay)</t>
  </si>
  <si>
    <t>(MartinLutherKing,Jr.Day)</t>
  </si>
  <si>
    <t>(Presidents'Day/Washington'sBirthday)</t>
  </si>
  <si>
    <t>(GoodFriday)</t>
  </si>
  <si>
    <t>(MemorialDay)</t>
  </si>
  <si>
    <t>(IndependenceDayObserved)</t>
  </si>
  <si>
    <t>(LaborDay)</t>
  </si>
  <si>
    <t>(ThanksgivingDay)</t>
  </si>
  <si>
    <t>(ChristmasDay)</t>
  </si>
  <si>
    <t>(JuneteenthObserved)</t>
  </si>
  <si>
    <t>(ChristmasDayObserved)</t>
  </si>
  <si>
    <t>星期四</t>
    <phoneticPr fontId="2" type="noConversion"/>
  </si>
  <si>
    <t>美國休息日</t>
    <phoneticPr fontId="2" type="noConversion"/>
  </si>
  <si>
    <t>FC</t>
    <phoneticPr fontId="2" type="noConversion"/>
  </si>
  <si>
    <t>Ian</t>
  </si>
  <si>
    <t>Max</t>
  </si>
  <si>
    <t>Google</t>
  </si>
  <si>
    <t>Dachen</t>
  </si>
  <si>
    <t>Black</t>
  </si>
  <si>
    <t>Winnie</t>
  </si>
  <si>
    <t>Hank</t>
  </si>
  <si>
    <t>Wilson</t>
  </si>
  <si>
    <t>Mark</t>
  </si>
  <si>
    <t>Po</t>
  </si>
  <si>
    <t>Eva</t>
  </si>
  <si>
    <t>Lulu</t>
  </si>
  <si>
    <t>Leo</t>
  </si>
  <si>
    <t>Alicia</t>
  </si>
  <si>
    <t>Steven</t>
  </si>
  <si>
    <t>Joey</t>
  </si>
  <si>
    <t>開盤價</t>
  </si>
  <si>
    <t>收盤價</t>
  </si>
  <si>
    <t>明日開盤價</t>
  </si>
  <si>
    <t>VWAP</t>
  </si>
  <si>
    <t>待確認</t>
    <phoneticPr fontId="2" type="noConversion"/>
  </si>
  <si>
    <t>募集</t>
    <phoneticPr fontId="2" type="noConversion"/>
  </si>
  <si>
    <t>保本率</t>
    <phoneticPr fontId="2" type="noConversion"/>
  </si>
  <si>
    <t>Maxi Bonus Enhanced Notes  (Non Guaranteed, Unsecured)</t>
  </si>
  <si>
    <t>Reverse Convertible with Digital Coupon Notes (Non Guaranteed, Unsecured)</t>
  </si>
  <si>
    <t>V</t>
  </si>
  <si>
    <t>Note Price
 (%)</t>
    <phoneticPr fontId="2" type="noConversion"/>
  </si>
  <si>
    <r>
      <t xml:space="preserve">Floor Coupon(%)
</t>
    </r>
    <r>
      <rPr>
        <sz val="11"/>
        <color theme="1"/>
        <rFont val="Segoe UI Symbol"/>
        <family val="2"/>
      </rPr>
      <t>◇</t>
    </r>
    <r>
      <rPr>
        <sz val="11"/>
        <color theme="1"/>
        <rFont val="微軟正黑體"/>
        <family val="2"/>
        <charset val="136"/>
      </rPr>
      <t>利率型商品</t>
    </r>
    <r>
      <rPr>
        <sz val="11"/>
        <color theme="1"/>
        <rFont val="Microsoft JhengHei"/>
        <family val="2"/>
      </rPr>
      <t>請留意</t>
    </r>
    <phoneticPr fontId="2" type="noConversion"/>
  </si>
  <si>
    <r>
      <t xml:space="preserve">PG Rate
(%)
</t>
    </r>
    <r>
      <rPr>
        <sz val="12"/>
        <color rgb="FFFF0000"/>
        <rFont val="Microsoft JhengHei"/>
        <family val="2"/>
      </rPr>
      <t>必填</t>
    </r>
    <r>
      <rPr>
        <sz val="12"/>
        <color rgb="FFFF0000"/>
        <rFont val="Calibri"/>
        <family val="2"/>
        <charset val="136"/>
      </rPr>
      <t>*</t>
    </r>
    <phoneticPr fontId="2" type="noConversion"/>
  </si>
  <si>
    <r>
      <rPr>
        <b/>
        <sz val="12"/>
        <color theme="4"/>
        <rFont val="Calibri"/>
        <family val="2"/>
      </rPr>
      <t>*BEN</t>
    </r>
    <r>
      <rPr>
        <sz val="12"/>
        <color theme="1"/>
        <rFont val="Calibri"/>
        <family val="2"/>
      </rPr>
      <t xml:space="preserve">
</t>
    </r>
    <r>
      <rPr>
        <sz val="12"/>
        <color theme="1"/>
        <rFont val="微軟正黑體"/>
        <family val="2"/>
        <charset val="136"/>
      </rPr>
      <t>尚未與部分上手交易過</t>
    </r>
    <r>
      <rPr>
        <u/>
        <sz val="12"/>
        <color theme="1"/>
        <rFont val="微軟正黑體"/>
        <family val="2"/>
        <charset val="136"/>
      </rPr>
      <t>連結單檔的</t>
    </r>
    <r>
      <rPr>
        <u/>
        <sz val="12"/>
        <color theme="1"/>
        <rFont val="Calibri"/>
        <family val="2"/>
      </rPr>
      <t>Digital</t>
    </r>
    <r>
      <rPr>
        <u/>
        <sz val="12"/>
        <color theme="1"/>
        <rFont val="微軟正黑體"/>
        <family val="2"/>
        <charset val="136"/>
      </rPr>
      <t>或是</t>
    </r>
    <r>
      <rPr>
        <u/>
        <sz val="12"/>
        <color theme="1"/>
        <rFont val="Calibri"/>
        <family val="2"/>
      </rPr>
      <t>BEN with KO</t>
    </r>
    <r>
      <rPr>
        <sz val="12"/>
        <color theme="1"/>
        <rFont val="微軟正黑體"/>
        <family val="2"/>
        <charset val="136"/>
      </rPr>
      <t>，請先向上手索取</t>
    </r>
    <r>
      <rPr>
        <sz val="12"/>
        <color theme="1"/>
        <rFont val="Calibri"/>
        <family val="2"/>
      </rPr>
      <t>TS</t>
    </r>
    <r>
      <rPr>
        <sz val="12"/>
        <color theme="1"/>
        <rFont val="微軟正黑體"/>
        <family val="2"/>
        <charset val="136"/>
      </rPr>
      <t>範本，</t>
    </r>
    <r>
      <rPr>
        <u/>
        <sz val="12"/>
        <color theme="1"/>
        <rFont val="微軟正黑體"/>
        <family val="2"/>
        <charset val="136"/>
      </rPr>
      <t>確認商品名稱</t>
    </r>
    <r>
      <rPr>
        <sz val="12"/>
        <color theme="1"/>
        <rFont val="微軟正黑體"/>
        <family val="2"/>
        <charset val="136"/>
      </rPr>
      <t xml:space="preserve">
</t>
    </r>
    <r>
      <rPr>
        <b/>
        <sz val="12"/>
        <color theme="5"/>
        <rFont val="Calibri"/>
        <family val="2"/>
      </rPr>
      <t>Regular BEN</t>
    </r>
    <r>
      <rPr>
        <sz val="12"/>
        <rFont val="Calibri"/>
        <family val="2"/>
      </rPr>
      <t xml:space="preserve"> &amp;</t>
    </r>
    <r>
      <rPr>
        <b/>
        <sz val="12"/>
        <color theme="5"/>
        <rFont val="Calibri"/>
        <family val="2"/>
      </rPr>
      <t xml:space="preserve"> Digital BEN</t>
    </r>
    <r>
      <rPr>
        <sz val="12"/>
        <color theme="1"/>
        <rFont val="Calibri"/>
        <family val="2"/>
      </rPr>
      <t xml:space="preserve"> </t>
    </r>
    <r>
      <rPr>
        <sz val="12"/>
        <color theme="1"/>
        <rFont val="微軟正黑體"/>
        <family val="2"/>
        <charset val="136"/>
      </rPr>
      <t>→</t>
    </r>
    <r>
      <rPr>
        <sz val="12"/>
        <color theme="1"/>
        <rFont val="Calibri"/>
        <family val="2"/>
      </rPr>
      <t xml:space="preserve"> Period End (non-memory) &amp; </t>
    </r>
    <r>
      <rPr>
        <sz val="12"/>
        <color rgb="FFFF0000"/>
        <rFont val="Calibri"/>
        <family val="2"/>
      </rPr>
      <t>Guaranteed period = Tenor</t>
    </r>
    <r>
      <rPr>
        <sz val="12"/>
        <color theme="1"/>
        <rFont val="Calibri"/>
        <family val="2"/>
      </rPr>
      <t xml:space="preserve">
</t>
    </r>
    <r>
      <rPr>
        <b/>
        <sz val="12"/>
        <color theme="5"/>
        <rFont val="Calibri"/>
        <family val="2"/>
      </rPr>
      <t xml:space="preserve">BEN with KO </t>
    </r>
    <r>
      <rPr>
        <sz val="12"/>
        <color theme="1"/>
        <rFont val="微軟正黑體"/>
        <family val="2"/>
        <charset val="136"/>
      </rPr>
      <t>→</t>
    </r>
    <r>
      <rPr>
        <sz val="12"/>
        <color theme="1"/>
        <rFont val="Calibri"/>
        <family val="2"/>
      </rPr>
      <t xml:space="preserve"> Period End (non-memory) &amp; </t>
    </r>
    <r>
      <rPr>
        <sz val="12"/>
        <color rgb="FFFF0000"/>
        <rFont val="Calibri"/>
        <family val="2"/>
      </rPr>
      <t>Guaranteed period = 1M</t>
    </r>
    <phoneticPr fontId="6" type="noConversion"/>
  </si>
  <si>
    <t>7267 JT</t>
    <phoneticPr fontId="2" type="noConversion"/>
  </si>
  <si>
    <t>AAOI UQ</t>
  </si>
  <si>
    <t>5802 JT</t>
  </si>
  <si>
    <t>5631 JT</t>
  </si>
  <si>
    <t>COHR UN</t>
  </si>
  <si>
    <t>LITE UQ</t>
  </si>
  <si>
    <t>285A JT</t>
  </si>
  <si>
    <t>3563 JT</t>
  </si>
  <si>
    <t>WMT UQ</t>
  </si>
  <si>
    <t>5706 JT</t>
  </si>
  <si>
    <t>WDC UW</t>
  </si>
  <si>
    <t>WDC UN</t>
  </si>
  <si>
    <t>UNCY UN</t>
  </si>
  <si>
    <t>GILD UN</t>
  </si>
  <si>
    <t>SPWR UN</t>
  </si>
  <si>
    <t>3800HK</t>
  </si>
  <si>
    <t>NXPI UW</t>
    <phoneticPr fontId="2" type="noConversion"/>
  </si>
  <si>
    <t>Snowball</t>
  </si>
  <si>
    <t>≦ 1年</t>
  </si>
  <si>
    <t>自動提前出場連結一籃子股票雪球結構型商品</t>
    <phoneticPr fontId="6" type="noConversion"/>
  </si>
  <si>
    <t>註1：Bull Bear、Sharkfin、BEN商品可依條件設計不同保本率之商品。</t>
  </si>
  <si>
    <t>可承作架構：
Spread Steepener、Bull Bear、Sharkfin、Callable Bond、Digital Note、Inverse Floater Note、
Range Accrual、FCN、DACN、
BEN、RCN、Super Bull、Multiplier、Snowball</t>
    <phoneticPr fontId="22" type="noConversion"/>
  </si>
  <si>
    <t>Snowball</t>
    <phoneticPr fontId="2" type="noConversion"/>
  </si>
  <si>
    <t>326</t>
    <phoneticPr fontId="2" type="noConversion"/>
  </si>
  <si>
    <t>BBVA</t>
  </si>
  <si>
    <t>BBVA</t>
    <phoneticPr fontId="2" type="noConversion"/>
  </si>
  <si>
    <t>0315186D NA</t>
  </si>
  <si>
    <t>西班牙商西班牙對外銀行股份有限公司</t>
  </si>
  <si>
    <t>A2</t>
    <phoneticPr fontId="2" type="noConversion"/>
  </si>
  <si>
    <t>326</t>
    <phoneticPr fontId="6" type="noConversion"/>
  </si>
  <si>
    <t>AAOI UQ</t>
    <phoneticPr fontId="2" type="noConversion"/>
  </si>
  <si>
    <t>AA-</t>
    <phoneticPr fontId="2" type="noConversion"/>
  </si>
  <si>
    <t>ALAB UW</t>
    <phoneticPr fontId="2" type="noConversion"/>
  </si>
  <si>
    <t>SPCX UW</t>
  </si>
  <si>
    <t>ONDS UQ</t>
    <phoneticPr fontId="2" type="noConversion"/>
  </si>
  <si>
    <t>ONDS UR</t>
    <phoneticPr fontId="2" type="noConversion"/>
  </si>
  <si>
    <t>RKLB UN</t>
    <phoneticPr fontId="2" type="noConversion"/>
  </si>
  <si>
    <t>CELH UQ</t>
  </si>
  <si>
    <t>MARA UR</t>
    <phoneticPr fontId="2" type="noConversion"/>
  </si>
  <si>
    <t>FCN_Stepdown</t>
    <phoneticPr fontId="2" type="noConversion"/>
  </si>
  <si>
    <t>FCN_Express</t>
    <phoneticPr fontId="2" type="noConversion"/>
  </si>
  <si>
    <t>FCN_OneStar</t>
    <phoneticPr fontId="2" type="noConversion"/>
  </si>
  <si>
    <t>Tony</t>
    <phoneticPr fontId="2" type="noConversion"/>
  </si>
  <si>
    <t>Snowball_Stepdown</t>
  </si>
  <si>
    <t>Snowball_Stepdown</t>
    <phoneticPr fontId="2" type="noConversion"/>
  </si>
  <si>
    <t>FCN_Stepdown</t>
  </si>
  <si>
    <t>股票(個股or一籃子)</t>
  </si>
  <si>
    <t>股票(個股or一籃子)</t>
    <phoneticPr fontId="2" type="noConversion"/>
  </si>
  <si>
    <t>RR4</t>
    <phoneticPr fontId="2" type="noConversion"/>
  </si>
  <si>
    <t>FCN_OneStar</t>
  </si>
  <si>
    <t>FCN</t>
    <phoneticPr fontId="2" type="noConversion"/>
  </si>
  <si>
    <t>FCN_Express</t>
  </si>
  <si>
    <t>078</t>
    <phoneticPr fontId="2" type="noConversion"/>
  </si>
  <si>
    <t>DBS</t>
  </si>
  <si>
    <t>DBS</t>
    <phoneticPr fontId="2" type="noConversion"/>
  </si>
  <si>
    <t>DACN</t>
    <phoneticPr fontId="2" type="noConversion"/>
  </si>
  <si>
    <t>新加坡商星展銀行股份有限公司</t>
  </si>
  <si>
    <t>1471Z SP</t>
  </si>
  <si>
    <t>1471Z SP</t>
    <phoneticPr fontId="2" type="noConversion"/>
  </si>
  <si>
    <t>Aa1</t>
    <phoneticPr fontId="2" type="noConversion"/>
  </si>
  <si>
    <t>078</t>
    <phoneticPr fontId="6" type="noConversion"/>
  </si>
  <si>
    <t>SNDK UQ</t>
    <phoneticPr fontId="2" type="noConversion"/>
  </si>
  <si>
    <t>A+</t>
    <phoneticPr fontId="2" type="noConversion"/>
  </si>
  <si>
    <t>AA</t>
    <phoneticPr fontId="2" type="noConversion"/>
  </si>
  <si>
    <t>156</t>
    <phoneticPr fontId="2" type="noConversion"/>
  </si>
  <si>
    <t>328</t>
    <phoneticPr fontId="2" type="noConversion"/>
  </si>
  <si>
    <t>A</t>
    <phoneticPr fontId="2" type="noConversion"/>
  </si>
  <si>
    <t>SKHY UW</t>
    <phoneticPr fontId="2" type="noConversion"/>
  </si>
  <si>
    <t>RR3~RR4</t>
    <phoneticPr fontId="2" type="noConversion"/>
  </si>
  <si>
    <r>
      <rPr>
        <sz val="12"/>
        <color theme="1"/>
        <rFont val="Microsoft JhengHei"/>
        <family val="2"/>
        <charset val="136"/>
      </rPr>
      <t>若是尚未拿到交易使用的</t>
    </r>
    <r>
      <rPr>
        <sz val="12"/>
        <color theme="1"/>
        <rFont val="Calibri"/>
        <family val="2"/>
        <charset val="136"/>
      </rPr>
      <t xml:space="preserve">TDCC
</t>
    </r>
    <r>
      <rPr>
        <sz val="12"/>
        <color theme="1"/>
        <rFont val="Microsoft JhengHei"/>
        <family val="2"/>
        <charset val="136"/>
      </rPr>
      <t>請在</t>
    </r>
    <r>
      <rPr>
        <sz val="12"/>
        <color theme="1"/>
        <rFont val="Calibri"/>
        <family val="2"/>
        <charset val="136"/>
      </rPr>
      <t>TDCC</t>
    </r>
    <r>
      <rPr>
        <sz val="12"/>
        <color theme="1"/>
        <rFont val="Microsoft JhengHei"/>
        <family val="2"/>
        <charset val="136"/>
      </rPr>
      <t>欄位後</t>
    </r>
    <r>
      <rPr>
        <sz val="12"/>
        <color theme="1"/>
        <rFont val="Calibri"/>
        <family val="2"/>
        <charset val="136"/>
      </rPr>
      <t>9</t>
    </r>
    <r>
      <rPr>
        <sz val="12"/>
        <color theme="1"/>
        <rFont val="Microsoft JhengHei"/>
        <family val="2"/>
        <charset val="136"/>
      </rPr>
      <t>碼輸入</t>
    </r>
    <r>
      <rPr>
        <sz val="12"/>
        <color theme="1"/>
        <rFont val="Calibri"/>
        <family val="2"/>
        <charset val="136"/>
      </rPr>
      <t>"0"</t>
    </r>
    <phoneticPr fontId="2" type="noConversion"/>
  </si>
  <si>
    <r>
      <rPr>
        <b/>
        <sz val="12"/>
        <color theme="4"/>
        <rFont val="Calibri"/>
        <family val="2"/>
      </rPr>
      <t>*Range Accrual with Autocall</t>
    </r>
    <r>
      <rPr>
        <sz val="12"/>
        <color theme="1"/>
        <rFont val="Calibri"/>
        <family val="2"/>
      </rPr>
      <t xml:space="preserve"> → "KO Barrier" key </t>
    </r>
    <r>
      <rPr>
        <u/>
        <sz val="12"/>
        <color theme="1"/>
        <rFont val="Calibri"/>
        <family val="2"/>
      </rPr>
      <t>autocall level (</t>
    </r>
    <r>
      <rPr>
        <u/>
        <sz val="12"/>
        <color theme="1"/>
        <rFont val="Microsoft JhengHei"/>
        <family val="2"/>
      </rPr>
      <t>數字</t>
    </r>
    <r>
      <rPr>
        <u/>
        <sz val="12"/>
        <color theme="1"/>
        <rFont val="Calibri"/>
        <family val="2"/>
      </rPr>
      <t>)</t>
    </r>
    <r>
      <rPr>
        <sz val="12"/>
        <color theme="1"/>
        <rFont val="Calibri"/>
        <family val="2"/>
      </rPr>
      <t xml:space="preserve">
</t>
    </r>
    <r>
      <rPr>
        <b/>
        <sz val="12"/>
        <color theme="4"/>
        <rFont val="Calibri"/>
        <family val="2"/>
      </rPr>
      <t>*Range Accrual with Target Redemption</t>
    </r>
    <r>
      <rPr>
        <sz val="12"/>
        <color theme="1"/>
        <rFont val="Calibri"/>
        <family val="2"/>
      </rPr>
      <t xml:space="preserve"> → "KO Barrier" key</t>
    </r>
    <r>
      <rPr>
        <sz val="12"/>
        <rFont val="Calibri"/>
        <family val="2"/>
      </rPr>
      <t xml:space="preserve"> </t>
    </r>
    <r>
      <rPr>
        <u/>
        <sz val="12"/>
        <rFont val="Calibri"/>
        <family val="2"/>
      </rPr>
      <t xml:space="preserve">"TR" </t>
    </r>
    <r>
      <rPr>
        <sz val="12"/>
        <rFont val="Calibri"/>
        <family val="2"/>
      </rPr>
      <t>(</t>
    </r>
    <r>
      <rPr>
        <sz val="12"/>
        <rFont val="Microsoft JhengHei"/>
        <family val="2"/>
      </rPr>
      <t>文字</t>
    </r>
    <r>
      <rPr>
        <sz val="12"/>
        <rFont val="Calibri"/>
        <family val="2"/>
      </rPr>
      <t>)</t>
    </r>
    <phoneticPr fontId="2" type="noConversion"/>
  </si>
  <si>
    <t>USD</t>
    <phoneticPr fontId="2" type="noConversion"/>
  </si>
  <si>
    <t>Quanto</t>
    <phoneticPr fontId="2" type="noConversion"/>
  </si>
  <si>
    <t>美元</t>
    <phoneticPr fontId="2" type="noConversion"/>
  </si>
  <si>
    <t>NBIS UQ</t>
    <phoneticPr fontId="2" type="noConversion"/>
  </si>
  <si>
    <t>SKHY UQ</t>
    <phoneticPr fontId="2" type="noConversion"/>
  </si>
  <si>
    <t>SPCX UQ</t>
    <phoneticPr fontId="2" type="noConversion"/>
  </si>
  <si>
    <t>1306 JT</t>
    <phoneticPr fontId="2" type="noConversion"/>
  </si>
  <si>
    <t>CMI UN</t>
    <phoneticPr fontId="2" type="noConversion"/>
  </si>
  <si>
    <t>AAOI UN</t>
    <phoneticPr fontId="2" type="noConversion"/>
  </si>
  <si>
    <t>Barclays</t>
    <phoneticPr fontId="2" type="noConversion"/>
  </si>
  <si>
    <t>羅素3000指數</t>
    <phoneticPr fontId="2" type="noConversion"/>
  </si>
  <si>
    <t>LITE UW</t>
    <phoneticPr fontId="2" type="noConversion"/>
  </si>
  <si>
    <t>那斯達克綜合指數</t>
    <phoneticPr fontId="2" type="noConversion"/>
  </si>
  <si>
    <t>029100002942</t>
    <phoneticPr fontId="2" type="noConversion"/>
  </si>
  <si>
    <t>9M</t>
    <phoneticPr fontId="2" type="noConversion"/>
  </si>
  <si>
    <t>NBIS UW</t>
    <phoneticPr fontId="2" type="noConversion"/>
  </si>
  <si>
    <t>MRVL UW</t>
    <phoneticPr fontId="2" type="noConversion"/>
  </si>
  <si>
    <t>英商巴克萊銀行9個月美元計價連結股權記憶式自動提前出場結構型商品（無擔保及無保證機構）</t>
  </si>
  <si>
    <t>9 Months USD Memory Autocallable Equity linked Note issued by Barclays Bank PLC (unsecured and non-guaranteed)</t>
  </si>
  <si>
    <t>AMBA UW</t>
    <phoneticPr fontId="2" type="noConversion"/>
  </si>
  <si>
    <t>5016 JT</t>
    <phoneticPr fontId="2" type="noConversion"/>
  </si>
  <si>
    <t>上手起單信件回填 Term</t>
    <phoneticPr fontId="2" type="noConversion"/>
  </si>
  <si>
    <t>上手（自動判斷失敗時才選）</t>
    <phoneticPr fontId="2" type="noConversion"/>
  </si>
  <si>
    <t>判斷結果</t>
    <phoneticPr fontId="2" type="noConversion"/>
  </si>
  <si>
    <t>↓ 請把上手的起單信件內容貼在第 7 列以下（建議貼在 A7）</t>
    <phoneticPr fontId="2" type="noConversion"/>
  </si>
  <si>
    <t>TDCC（信裡沒有時手填）</t>
    <phoneticPr fontId="2" type="noConversion"/>
  </si>
  <si>
    <r>
      <rPr>
        <sz val="12"/>
        <color theme="1"/>
        <rFont val="Microsoft JhengHei"/>
        <family val="2"/>
      </rPr>
      <t>同</t>
    </r>
    <r>
      <rPr>
        <sz val="12"/>
        <color theme="1"/>
        <rFont val="Calibri"/>
        <family val="2"/>
      </rPr>
      <t>FCN</t>
    </r>
    <phoneticPr fontId="2" type="noConversion"/>
  </si>
  <si>
    <t>P  N</t>
    <phoneticPr fontId="2" type="noConversion"/>
  </si>
  <si>
    <t>Autocall Frequency(M)</t>
  </si>
  <si>
    <t>BNP</t>
    <phoneticPr fontId="2" type="noConversion"/>
  </si>
  <si>
    <t>Super Bull Level (%)</t>
  </si>
  <si>
    <t>HSBC</t>
    <phoneticPr fontId="2" type="noConversion"/>
  </si>
  <si>
    <t>Strike (%)</t>
  </si>
  <si>
    <t>Autocall Barrier (%)</t>
  </si>
  <si>
    <t>CA</t>
    <phoneticPr fontId="2" type="noConversion"/>
  </si>
  <si>
    <t>Guaranteed Period/Non-call
(M)</t>
  </si>
  <si>
    <t>Coupon (%)</t>
  </si>
  <si>
    <t>Note Price
 (%)</t>
  </si>
  <si>
    <t>PG Rate
(%)
必填*</t>
  </si>
  <si>
    <t>Floor Coupon(%)
◇利率型商品請留意</t>
  </si>
  <si>
    <t>Coupon (Flat)</t>
  </si>
  <si>
    <t>Issue Price (%)</t>
  </si>
  <si>
    <t xml:space="preserve">Tenor </t>
  </si>
  <si>
    <t>MS</t>
    <phoneticPr fontId="2" type="noConversion"/>
  </si>
  <si>
    <t>Put Strike (%)</t>
  </si>
  <si>
    <t>KO Step</t>
  </si>
  <si>
    <t>Risk level: RR2</t>
  </si>
  <si>
    <t>PG rate: 100%</t>
  </si>
  <si>
    <t>Tag</t>
  </si>
  <si>
    <t>Tenor (Y)</t>
  </si>
  <si>
    <t>Coupon</t>
  </si>
  <si>
    <t>Condition_1</t>
  </si>
  <si>
    <t>Call Feature</t>
  </si>
  <si>
    <t>UF</t>
  </si>
  <si>
    <t>NC 1Y*3M</t>
  </si>
  <si>
    <t>Call Feature *12</t>
    <phoneticPr fontId="2" type="noConversion"/>
  </si>
  <si>
    <t>100-UF</t>
    <phoneticPr fontId="2" type="noConversion"/>
  </si>
  <si>
    <t>說明</t>
    <phoneticPr fontId="2" type="noConversion"/>
  </si>
  <si>
    <t>v</t>
    <phoneticPr fontId="2" type="noConversion"/>
  </si>
  <si>
    <r>
      <rPr>
        <sz val="12"/>
        <color theme="1"/>
        <rFont val="細明體"/>
        <family val="2"/>
        <charset val="136"/>
      </rPr>
      <t>跟</t>
    </r>
    <r>
      <rPr>
        <sz val="12"/>
        <color theme="1"/>
        <rFont val="Calibri"/>
        <family val="2"/>
      </rPr>
      <t>FCN</t>
    </r>
    <r>
      <rPr>
        <sz val="12"/>
        <color theme="1"/>
        <rFont val="細明體"/>
        <family val="2"/>
        <charset val="136"/>
      </rPr>
      <t>相同</t>
    </r>
    <phoneticPr fontId="2" type="noConversion"/>
  </si>
  <si>
    <t>Super Bull</t>
    <phoneticPr fontId="2" type="noConversion"/>
  </si>
  <si>
    <r>
      <rPr>
        <sz val="12"/>
        <color theme="1"/>
        <rFont val="細明體"/>
        <family val="2"/>
        <charset val="136"/>
      </rPr>
      <t>跟</t>
    </r>
    <r>
      <rPr>
        <sz val="12"/>
        <color theme="1"/>
        <rFont val="Calibri"/>
        <family val="2"/>
      </rPr>
      <t>FCN</t>
    </r>
    <r>
      <rPr>
        <sz val="12"/>
        <color theme="1"/>
        <rFont val="細明體"/>
        <family val="2"/>
        <charset val="136"/>
      </rPr>
      <t>相同，除了</t>
    </r>
    <r>
      <rPr>
        <sz val="12"/>
        <color theme="1"/>
        <rFont val="Calibri"/>
        <family val="2"/>
      </rPr>
      <t>E</t>
    </r>
    <r>
      <rPr>
        <sz val="12"/>
        <color theme="1"/>
        <rFont val="Microsoft JhengHei"/>
        <family val="2"/>
      </rPr>
      <t>欄必為</t>
    </r>
    <r>
      <rPr>
        <sz val="12"/>
        <color theme="1"/>
        <rFont val="Calibri"/>
        <family val="2"/>
      </rPr>
      <t>0</t>
    </r>
    <phoneticPr fontId="2" type="noConversion"/>
  </si>
  <si>
    <t>保本型商品（保本型要先選）</t>
    <phoneticPr fontId="2" type="noConversion"/>
  </si>
  <si>
    <t>coupon frequency = callable frequency</t>
  </si>
  <si>
    <t>Target redemption</t>
  </si>
  <si>
    <t>(No Guaranteed)</t>
  </si>
  <si>
    <t>USD SOFR CMS 10Y</t>
  </si>
  <si>
    <t>10年期</t>
    <phoneticPr fontId="2" type="noConversion"/>
  </si>
  <si>
    <t>076000010633</t>
  </si>
  <si>
    <t>Trade date: 2026/10/22</t>
  </si>
  <si>
    <r>
      <t xml:space="preserve">Issue date (T+7): </t>
    </r>
    <r>
      <rPr>
        <sz val="12"/>
        <color rgb="FFFF0000"/>
        <rFont val="Calibri"/>
        <family val="2"/>
      </rPr>
      <t>2026/10/29</t>
    </r>
  </si>
  <si>
    <r>
      <t xml:space="preserve">Maturity date: </t>
    </r>
    <r>
      <rPr>
        <sz val="12"/>
        <color rgb="FFFF0000"/>
        <rFont val="Calibri"/>
        <family val="2"/>
      </rPr>
      <t>2036/10/29</t>
    </r>
  </si>
  <si>
    <t>Capital size: USD 500K</t>
  </si>
  <si>
    <t>H</t>
  </si>
  <si>
    <r>
      <t>Y1 :</t>
    </r>
    <r>
      <rPr>
        <b/>
        <sz val="12"/>
        <color theme="1"/>
        <rFont val="Calibri"/>
        <family val="2"/>
      </rPr>
      <t> 7.0%</t>
    </r>
    <r>
      <rPr>
        <sz val="12"/>
        <color theme="1"/>
        <rFont val="Calibri"/>
        <family val="2"/>
      </rPr>
      <t xml:space="preserve"> p.a Fixed</t>
    </r>
  </si>
  <si>
    <r>
      <t>Y2+: </t>
    </r>
    <r>
      <rPr>
        <b/>
        <sz val="12"/>
        <color theme="1"/>
        <rFont val="Calibri"/>
        <family val="2"/>
      </rPr>
      <t>7.0%</t>
    </r>
    <r>
      <rPr>
        <sz val="12"/>
        <color theme="1"/>
        <rFont val="Calibri"/>
        <family val="2"/>
      </rPr>
      <t> x n/N p.a</t>
    </r>
  </si>
  <si>
    <r>
      <t xml:space="preserve">USD SOFR CMS 10Y </t>
    </r>
    <r>
      <rPr>
        <sz val="12"/>
        <color theme="1"/>
        <rFont val="新細明體"/>
        <family val="1"/>
        <charset val="136"/>
      </rPr>
      <t>≦</t>
    </r>
    <r>
      <rPr>
        <sz val="12"/>
        <color theme="1"/>
        <rFont val="Calibri"/>
        <family val="2"/>
      </rPr>
      <t> </t>
    </r>
    <r>
      <rPr>
        <b/>
        <sz val="12"/>
        <color theme="1"/>
        <rFont val="Calibri"/>
        <family val="2"/>
      </rPr>
      <t>5.5%</t>
    </r>
  </si>
  <si>
    <t>JPM（TDCC 前 3 碼）</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</si>
</sst>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 #,##0.00_-;_-* &quot;-&quot;??_-;_-@_-"/>
    <numFmt numFmtId="176" formatCode="0.0"/>
    <numFmt numFmtId="177" formatCode="#,##0.0"/>
    <numFmt numFmtId="178" formatCode="_(* #,##0.00_);_(* \(#,##0.00\);_(* &quot;-&quot;??_);_(@_)"/>
  </numFmts>
  <fonts count="61">
    <font>
      <sz val="12"/>
      <color theme="1"/>
      <name val="Calibri"/>
      <family val="2"/>
      <charset val="136"/>
    </font>
    <font>
      <sz val="12"/>
      <color theme="1"/>
      <name val="微軟正黑體"/>
      <family val="2"/>
      <charset val="136"/>
    </font>
    <font>
      <sz val="9"/>
      <name val="Calibri"/>
      <family val="2"/>
      <charset val="136"/>
    </font>
    <font>
      <sz val="12"/>
      <color theme="1"/>
      <name val="Microsoft JhengHei"/>
      <family val="2"/>
    </font>
    <font>
      <b/>
      <sz val="12"/>
      <color theme="1"/>
      <name val="Microsoft JhengHei"/>
      <family val="2"/>
      <charset val="136"/>
    </font>
    <font>
      <sz val="12"/>
      <color theme="1"/>
      <name val="Calibri"/>
      <family val="2"/>
    </font>
    <font>
      <sz val="9"/>
      <name val="新細明體"/>
      <family val="2"/>
      <charset val="136"/>
      <scheme val="minor"/>
    </font>
    <font>
      <sz val="12"/>
      <color theme="1"/>
      <name val="微軟正黑體"/>
      <family val="2"/>
      <charset val="136"/>
    </font>
    <font>
      <sz val="16"/>
      <color rgb="FF000000"/>
      <name val="Calibri"/>
      <family val="2"/>
    </font>
    <font>
      <sz val="12"/>
      <color theme="1"/>
      <name val="新細明體"/>
      <family val="2"/>
      <charset val="136"/>
      <scheme val="minor"/>
    </font>
    <font>
      <b/>
      <sz val="12"/>
      <color theme="0"/>
      <name val="Calibri"/>
      <family val="2"/>
    </font>
    <font>
      <b/>
      <sz val="12"/>
      <color theme="4"/>
      <name val="Calibri"/>
      <family val="2"/>
    </font>
    <font>
      <sz val="12"/>
      <color rgb="FFFF0000"/>
      <name val="Calibri"/>
      <family val="2"/>
    </font>
    <font>
      <b/>
      <sz val="12"/>
      <color theme="1"/>
      <name val="細明體"/>
      <family val="3"/>
      <charset val="136"/>
    </font>
    <font>
      <u/>
      <sz val="12"/>
      <color theme="1"/>
      <name val="微軟正黑體"/>
      <family val="2"/>
      <charset val="136"/>
    </font>
    <font>
      <u/>
      <sz val="12"/>
      <color theme="1"/>
      <name val="Calibri"/>
      <family val="2"/>
    </font>
    <font>
      <b/>
      <sz val="12"/>
      <color theme="5"/>
      <name val="Calibri"/>
      <family val="2"/>
    </font>
    <font>
      <sz val="12"/>
      <name val="Calibri"/>
      <family val="2"/>
    </font>
    <font>
      <sz val="11"/>
      <color theme="1"/>
      <name val="新細明體"/>
      <family val="2"/>
      <scheme val="minor"/>
    </font>
    <font>
      <sz val="24"/>
      <color theme="1"/>
      <name val="微軟正黑體"/>
      <family val="2"/>
      <charset val="136"/>
    </font>
    <font>
      <sz val="16"/>
      <color theme="1"/>
      <name val="微軟正黑體"/>
      <family val="2"/>
      <charset val="136"/>
    </font>
    <font>
      <b/>
      <sz val="20"/>
      <color theme="1"/>
      <name val="微軟正黑體"/>
      <family val="2"/>
      <charset val="136"/>
    </font>
    <font>
      <sz val="9"/>
      <name val="新細明體"/>
      <family val="3"/>
      <charset val="136"/>
      <scheme val="minor"/>
    </font>
    <font>
      <sz val="18"/>
      <color theme="1"/>
      <name val="微軟正黑體"/>
      <family val="2"/>
      <charset val="136"/>
    </font>
    <font>
      <b/>
      <sz val="16"/>
      <color theme="1"/>
      <name val="微軟正黑體"/>
      <family val="2"/>
      <charset val="136"/>
    </font>
    <font>
      <b/>
      <u/>
      <sz val="20"/>
      <color theme="1"/>
      <name val="微軟正黑體"/>
      <family val="2"/>
      <charset val="136"/>
    </font>
    <font>
      <b/>
      <sz val="24"/>
      <color theme="1"/>
      <name val="微軟正黑體"/>
      <family val="2"/>
      <charset val="136"/>
    </font>
    <font>
      <b/>
      <sz val="16"/>
      <color rgb="FFFFFFFF"/>
      <name val="微軟正黑體"/>
      <family val="2"/>
      <charset val="136"/>
    </font>
    <font>
      <sz val="16"/>
      <color rgb="FF000000"/>
      <name val="微軟正黑體"/>
      <family val="2"/>
      <charset val="136"/>
    </font>
    <font>
      <sz val="16"/>
      <color rgb="FFFF0000"/>
      <name val="微軟正黑體"/>
      <family val="2"/>
      <charset val="136"/>
    </font>
    <font>
      <b/>
      <sz val="36"/>
      <color rgb="FFFF0000"/>
      <name val="微軟正黑體"/>
      <family val="2"/>
      <charset val="136"/>
    </font>
    <font>
      <b/>
      <sz val="18"/>
      <color theme="1"/>
      <name val="微軟正黑體"/>
      <family val="2"/>
      <charset val="136"/>
    </font>
    <font>
      <b/>
      <sz val="12"/>
      <color theme="1"/>
      <name val="微軟正黑體"/>
      <family val="2"/>
      <charset val="136"/>
    </font>
    <font>
      <sz val="24"/>
      <name val="微軟正黑體"/>
      <family val="2"/>
      <charset val="136"/>
    </font>
    <font>
      <sz val="24"/>
      <color rgb="FFFF0000"/>
      <name val="微軟正黑體"/>
      <family val="2"/>
      <charset val="136"/>
    </font>
    <font>
      <b/>
      <sz val="22"/>
      <color indexed="81"/>
      <name val="細明體"/>
      <family val="3"/>
      <charset val="136"/>
    </font>
    <font>
      <b/>
      <sz val="22"/>
      <color indexed="81"/>
      <name val="Tahoma"/>
      <family val="2"/>
    </font>
    <font>
      <b/>
      <sz val="16"/>
      <color indexed="81"/>
      <name val="細明體"/>
      <family val="3"/>
      <charset val="136"/>
    </font>
    <font>
      <sz val="11"/>
      <color rgb="FFFF0000"/>
      <name val="Calibri"/>
      <family val="2"/>
      <charset val="136"/>
    </font>
    <font>
      <sz val="11"/>
      <color theme="1"/>
      <name val="Calibri"/>
      <family val="2"/>
      <charset val="136"/>
    </font>
    <font>
      <sz val="11"/>
      <color theme="1"/>
      <name val="Segoe UI Symbol"/>
      <family val="2"/>
    </font>
    <font>
      <sz val="11"/>
      <color theme="1"/>
      <name val="微軟正黑體"/>
      <family val="2"/>
      <charset val="136"/>
    </font>
    <font>
      <sz val="11"/>
      <color theme="1"/>
      <name val="Microsoft JhengHei"/>
      <family val="2"/>
    </font>
    <font>
      <sz val="12"/>
      <color rgb="FFFF0000"/>
      <name val="Calibri"/>
      <family val="2"/>
      <charset val="136"/>
    </font>
    <font>
      <sz val="12"/>
      <name val="Calibri"/>
      <family val="2"/>
      <charset val="136"/>
    </font>
    <font>
      <sz val="12"/>
      <color rgb="FFFF0000"/>
      <name val="Microsoft JhengHei"/>
      <family val="2"/>
    </font>
    <font>
      <b/>
      <sz val="11"/>
      <color indexed="9"/>
      <name val="Calibri"/>
      <family val="2"/>
    </font>
    <font>
      <sz val="12"/>
      <color theme="1"/>
      <name val="Microsoft JhengHei"/>
      <family val="2"/>
      <charset val="136"/>
    </font>
    <font>
      <u/>
      <sz val="12"/>
      <name val="Calibri"/>
      <family val="2"/>
    </font>
    <font>
      <sz val="12"/>
      <name val="Microsoft JhengHei"/>
      <family val="2"/>
    </font>
    <font>
      <u/>
      <sz val="12"/>
      <color theme="1"/>
      <name val="Microsoft JhengHei"/>
      <family val="2"/>
    </font>
    <font>
      <b/>
      <sz val="14"/>
      <color theme="1"/>
      <name val="Calibri"/>
      <family val="2"/>
    </font>
    <font>
      <sz val="12"/>
      <color rgb="FFC00000"/>
      <name val="Calibri"/>
      <family val="2"/>
      <charset val="136"/>
    </font>
    <font>
      <b/>
      <sz val="12"/>
      <color theme="1"/>
      <name val="Calibri"/>
      <family val="2"/>
    </font>
    <font>
      <sz val="12"/>
      <color theme="1"/>
      <name val="Aptos"/>
      <family val="2"/>
    </font>
    <font>
      <sz val="12"/>
      <color rgb="FFFFFF00"/>
      <name val="Calibri"/>
      <family val="2"/>
    </font>
    <font>
      <sz val="12"/>
      <color theme="1"/>
      <name val="新細明體"/>
      <family val="1"/>
      <charset val="136"/>
    </font>
    <font>
      <sz val="12"/>
      <color rgb="FF1F497D"/>
      <name val="Calibri"/>
      <family val="2"/>
    </font>
    <font>
      <b/>
      <sz val="12"/>
      <color rgb="FFFF0000"/>
      <name val="Calibri"/>
      <family val="2"/>
    </font>
    <font>
      <sz val="12"/>
      <color theme="1"/>
      <name val="細明體"/>
      <family val="2"/>
      <charset val="136"/>
    </font>
    <font>
      <b/>
      <sz val="12"/>
      <color rgb="FF000000"/>
      <name val="Calibri"/>
      <family val="2"/>
    </font>
  </fonts>
  <fills count="25">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3"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5" tint="0.59999389629810485"/>
        <bgColor theme="5" tint="0.59999389629810485"/>
      </patternFill>
    </fill>
    <fill>
      <patternFill patternType="solid">
        <fgColor theme="5" tint="0.79998168889431442"/>
        <bgColor theme="5" tint="0.79998168889431442"/>
      </patternFill>
    </fill>
    <fill>
      <patternFill patternType="solid">
        <fgColor theme="1" tint="0.499984740745262"/>
        <bgColor indexed="64"/>
      </patternFill>
    </fill>
    <fill>
      <patternFill patternType="solid">
        <fgColor rgb="FFFFFF00"/>
        <bgColor indexed="64"/>
      </patternFill>
    </fill>
    <fill>
      <patternFill patternType="solid">
        <fgColor rgb="FF006666"/>
        <bgColor indexed="64"/>
      </patternFill>
    </fill>
    <fill>
      <patternFill patternType="solid">
        <fgColor theme="9" tint="0.39997558519241921"/>
        <bgColor indexed="64"/>
      </patternFill>
    </fill>
    <fill>
      <patternFill patternType="solid">
        <fgColor theme="0" tint="-0.34998626667073579"/>
        <bgColor indexed="64"/>
      </patternFill>
    </fill>
    <fill>
      <patternFill patternType="solid">
        <fgColor theme="5" tint="0.59999389629810485"/>
        <bgColor indexed="64"/>
      </patternFill>
    </fill>
    <fill>
      <patternFill patternType="solid">
        <fgColor rgb="FF4F81BD"/>
        <bgColor indexed="64"/>
      </patternFill>
    </fill>
    <fill>
      <patternFill patternType="solid">
        <fgColor rgb="FFFFF2CC"/>
        <bgColor indexed="64"/>
      </patternFill>
    </fill>
    <fill>
      <patternFill patternType="solid">
        <fgColor rgb="FF00AC8E"/>
        <bgColor indexed="64"/>
      </patternFill>
    </fill>
    <fill>
      <patternFill patternType="solid">
        <fgColor theme="9"/>
        <bgColor theme="5" tint="0.79998168889431442"/>
      </patternFill>
    </fill>
    <fill>
      <patternFill patternType="solid">
        <fgColor theme="4" tint="0.79998168889431442"/>
        <bgColor theme="5" tint="0.79998168889431442"/>
      </patternFill>
    </fill>
    <fill>
      <patternFill patternType="solid">
        <fgColor theme="5" tint="0.39997558519241921"/>
        <bgColor theme="5" tint="0.79998168889431442"/>
      </patternFill>
    </fill>
    <fill>
      <patternFill patternType="solid">
        <fgColor theme="6" tint="0.59999389629810485"/>
        <bgColor indexed="64"/>
      </patternFill>
    </fill>
    <fill>
      <patternFill patternType="solid">
        <fgColor theme="6" tint="0.59999389629810485"/>
        <bgColor theme="4" tint="0.79998168889431442"/>
      </patternFill>
    </fill>
  </fills>
  <borders count="20">
    <border>
      <left/>
      <right/>
      <top/>
      <bottom/>
      <diagonal/>
    </border>
    <border>
      <left style="thin">
        <color theme="0"/>
      </left>
      <right/>
      <top style="thin">
        <color theme="0"/>
      </top>
      <bottom/>
      <diagonal/>
    </border>
    <border>
      <left style="thin">
        <color theme="0"/>
      </left>
      <right/>
      <top/>
      <bottom/>
      <diagonal/>
    </border>
    <border>
      <left/>
      <right/>
      <top style="thin">
        <color theme="0"/>
      </top>
      <bottom/>
      <diagonal/>
    </border>
    <border>
      <left style="thin">
        <color indexed="64"/>
      </left>
      <right style="thin">
        <color indexed="64"/>
      </right>
      <top style="thin">
        <color indexed="64"/>
      </top>
      <bottom style="thin">
        <color indexed="64"/>
      </bottom>
      <diagonal/>
    </border>
    <border>
      <left style="medium">
        <color rgb="FF000000"/>
      </left>
      <right style="medium">
        <color rgb="FF000000"/>
      </right>
      <top style="medium">
        <color rgb="FF000000"/>
      </top>
      <bottom/>
      <diagonal/>
    </border>
    <border>
      <left style="medium">
        <color rgb="FF000000"/>
      </left>
      <right style="medium">
        <color rgb="FF000000"/>
      </right>
      <top style="medium">
        <color rgb="FF000000"/>
      </top>
      <bottom style="medium">
        <color rgb="FF000000"/>
      </bottom>
      <diagonal/>
    </border>
    <border>
      <left style="thin">
        <color indexed="64"/>
      </left>
      <right/>
      <top style="thin">
        <color indexed="64"/>
      </top>
      <bottom/>
      <diagonal/>
    </border>
    <border>
      <left/>
      <right/>
      <top style="thin">
        <color indexed="64"/>
      </top>
      <bottom/>
      <diagonal/>
    </border>
    <border>
      <left/>
      <right/>
      <top/>
      <bottom style="thin">
        <color indexed="64"/>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thin">
        <color theme="4" tint="0.39997558519241921"/>
      </left>
      <right/>
      <top style="thin">
        <color theme="4" tint="0.39997558519241921"/>
      </top>
      <bottom style="thin">
        <color theme="4" tint="0.39997558519241921"/>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right style="medium">
        <color indexed="64"/>
      </right>
      <top/>
      <bottom/>
      <diagonal/>
    </border>
  </borders>
  <cellStyleXfs count="10">
    <xf numFmtId="0" fontId="0" fillId="0" borderId="0">
      <alignment vertical="center"/>
    </xf>
    <xf numFmtId="0" fontId="9" fillId="0" borderId="0">
      <alignment vertical="center"/>
    </xf>
    <xf numFmtId="0" fontId="18" fillId="0" borderId="0"/>
    <xf numFmtId="43" fontId="9" fillId="0" borderId="0" applyFont="0" applyFill="0" applyBorder="0" applyAlignment="0" applyProtection="0">
      <alignment vertical="center"/>
    </xf>
    <xf numFmtId="43" fontId="18" fillId="0" borderId="0" applyFont="0" applyFill="0" applyBorder="0" applyAlignment="0" applyProtection="0">
      <alignment vertical="center"/>
    </xf>
    <xf numFmtId="0" fontId="7" fillId="0" borderId="0">
      <alignment vertical="center"/>
    </xf>
    <xf numFmtId="43" fontId="7" fillId="0" borderId="0" applyFont="0" applyFill="0" applyBorder="0" applyAlignment="0" applyProtection="0">
      <alignment vertical="center"/>
    </xf>
    <xf numFmtId="178" fontId="18" fillId="0" borderId="0" applyFont="0" applyFill="0" applyBorder="0" applyAlignment="0" applyProtection="0">
      <alignment vertical="center"/>
    </xf>
    <xf numFmtId="9" fontId="7" fillId="0" borderId="0" applyFont="0" applyFill="0" applyBorder="0" applyAlignment="0" applyProtection="0">
      <alignment vertical="center"/>
    </xf>
    <xf numFmtId="0" fontId="46" fillId="17" borderId="0"/>
  </cellStyleXfs>
  <cellXfs count="150">
    <xf numFmtId="0" fontId="0" fillId="0" borderId="0" xfId="0">
      <alignment vertical="center"/>
    </xf>
    <xf numFmtId="0" fontId="3" fillId="0" borderId="0" xfId="0" applyFont="1">
      <alignment vertical="center"/>
    </xf>
    <xf numFmtId="0" fontId="4" fillId="2" borderId="0" xfId="0" applyFont="1" applyFill="1">
      <alignment vertical="center"/>
    </xf>
    <xf numFmtId="0" fontId="3" fillId="4" borderId="0" xfId="0" applyFont="1" applyFill="1">
      <alignment vertical="center"/>
    </xf>
    <xf numFmtId="0" fontId="5" fillId="3" borderId="0" xfId="0" applyFont="1" applyFill="1">
      <alignment vertical="center"/>
    </xf>
    <xf numFmtId="0" fontId="5" fillId="5" borderId="0" xfId="0" applyFont="1" applyFill="1">
      <alignment vertical="center"/>
    </xf>
    <xf numFmtId="0" fontId="5" fillId="6" borderId="0" xfId="0" applyFont="1" applyFill="1">
      <alignment vertical="center"/>
    </xf>
    <xf numFmtId="0" fontId="5" fillId="7" borderId="0" xfId="0" applyFont="1" applyFill="1">
      <alignment vertical="center"/>
    </xf>
    <xf numFmtId="0" fontId="5" fillId="8" borderId="0" xfId="0" applyFont="1" applyFill="1">
      <alignment vertical="center"/>
    </xf>
    <xf numFmtId="0" fontId="5" fillId="0" borderId="0" xfId="0" applyFont="1">
      <alignment vertical="center"/>
    </xf>
    <xf numFmtId="0" fontId="5" fillId="0" borderId="0" xfId="0" applyFont="1" applyAlignment="1">
      <alignment horizontal="left" vertical="center" wrapText="1"/>
    </xf>
    <xf numFmtId="14" fontId="7" fillId="0" borderId="0" xfId="0" applyNumberFormat="1" applyFont="1">
      <alignment vertical="center"/>
    </xf>
    <xf numFmtId="0" fontId="0" fillId="9" borderId="0" xfId="0" applyFill="1" applyAlignment="1">
      <alignment horizontal="center" vertical="center" wrapText="1"/>
    </xf>
    <xf numFmtId="0" fontId="0" fillId="9" borderId="2" xfId="0" applyFill="1" applyBorder="1" applyAlignment="1">
      <alignment horizontal="center" vertical="center" wrapText="1"/>
    </xf>
    <xf numFmtId="0" fontId="0" fillId="10" borderId="3" xfId="0" applyFill="1" applyBorder="1" applyAlignment="1">
      <alignment horizontal="center" vertical="center"/>
    </xf>
    <xf numFmtId="0" fontId="0" fillId="10" borderId="1" xfId="0" applyFill="1" applyBorder="1" applyAlignment="1">
      <alignment horizontal="center" vertical="center"/>
    </xf>
    <xf numFmtId="0" fontId="10" fillId="11" borderId="0" xfId="1" applyFont="1" applyFill="1">
      <alignment vertical="center"/>
    </xf>
    <xf numFmtId="0" fontId="5" fillId="0" borderId="0" xfId="1" applyFont="1">
      <alignment vertical="center"/>
    </xf>
    <xf numFmtId="49" fontId="5" fillId="0" borderId="0" xfId="1" applyNumberFormat="1" applyFont="1">
      <alignment vertical="center"/>
    </xf>
    <xf numFmtId="0" fontId="7" fillId="0" borderId="0" xfId="1" applyFont="1">
      <alignment vertical="center"/>
    </xf>
    <xf numFmtId="0" fontId="7" fillId="0" borderId="0" xfId="2" applyFont="1" applyAlignment="1">
      <alignment horizontal="center" vertical="center"/>
    </xf>
    <xf numFmtId="0" fontId="19" fillId="0" borderId="0" xfId="2" applyFont="1" applyAlignment="1">
      <alignment horizontal="center" vertical="center"/>
    </xf>
    <xf numFmtId="0" fontId="20" fillId="0" borderId="0" xfId="2" applyFont="1" applyAlignment="1">
      <alignment horizontal="center" vertical="center"/>
    </xf>
    <xf numFmtId="0" fontId="21" fillId="7" borderId="4" xfId="2" applyFont="1" applyFill="1" applyBorder="1" applyAlignment="1">
      <alignment horizontal="center" vertical="center" wrapText="1"/>
    </xf>
    <xf numFmtId="0" fontId="21" fillId="7" borderId="4" xfId="2" applyFont="1" applyFill="1" applyBorder="1" applyAlignment="1">
      <alignment horizontal="center" vertical="center"/>
    </xf>
    <xf numFmtId="3" fontId="19" fillId="0" borderId="0" xfId="2" applyNumberFormat="1" applyFont="1" applyAlignment="1">
      <alignment horizontal="center" vertical="center"/>
    </xf>
    <xf numFmtId="0" fontId="23" fillId="0" borderId="4" xfId="2" applyFont="1" applyBorder="1" applyAlignment="1">
      <alignment horizontal="center" vertical="center"/>
    </xf>
    <xf numFmtId="0" fontId="24" fillId="0" borderId="4" xfId="2" applyFont="1" applyBorder="1" applyAlignment="1">
      <alignment horizontal="center" vertical="center" wrapText="1"/>
    </xf>
    <xf numFmtId="0" fontId="19" fillId="12" borderId="0" xfId="2" applyFont="1" applyFill="1" applyAlignment="1">
      <alignment horizontal="center" vertical="center"/>
    </xf>
    <xf numFmtId="0" fontId="25" fillId="7" borderId="4" xfId="2" applyFont="1" applyFill="1" applyBorder="1" applyAlignment="1">
      <alignment horizontal="center" vertical="center"/>
    </xf>
    <xf numFmtId="9" fontId="23" fillId="0" borderId="4" xfId="1" applyNumberFormat="1" applyFont="1" applyBorder="1" applyAlignment="1">
      <alignment horizontal="center" vertical="center"/>
    </xf>
    <xf numFmtId="0" fontId="24" fillId="0" borderId="4" xfId="2" applyFont="1" applyBorder="1" applyAlignment="1">
      <alignment horizontal="center" vertical="center"/>
    </xf>
    <xf numFmtId="0" fontId="26" fillId="0" borderId="0" xfId="2" applyFont="1" applyAlignment="1">
      <alignment horizontal="center" vertical="center"/>
    </xf>
    <xf numFmtId="0" fontId="27" fillId="13" borderId="5" xfId="2" applyFont="1" applyFill="1" applyBorder="1" applyAlignment="1">
      <alignment horizontal="center" vertical="center"/>
    </xf>
    <xf numFmtId="9" fontId="19" fillId="12" borderId="0" xfId="2" applyNumberFormat="1" applyFont="1" applyFill="1" applyAlignment="1">
      <alignment horizontal="center" vertical="center"/>
    </xf>
    <xf numFmtId="176" fontId="19" fillId="12" borderId="0" xfId="2" applyNumberFormat="1" applyFont="1" applyFill="1" applyAlignment="1">
      <alignment horizontal="center" vertical="center"/>
    </xf>
    <xf numFmtId="176" fontId="19" fillId="0" borderId="0" xfId="2" applyNumberFormat="1" applyFont="1" applyAlignment="1">
      <alignment horizontal="center" vertical="center"/>
    </xf>
    <xf numFmtId="0" fontId="28" fillId="0" borderId="6" xfId="2" applyFont="1" applyBorder="1" applyAlignment="1">
      <alignment horizontal="center" vertical="center"/>
    </xf>
    <xf numFmtId="0" fontId="29" fillId="0" borderId="6" xfId="2" applyFont="1" applyBorder="1" applyAlignment="1">
      <alignment horizontal="center" vertical="center"/>
    </xf>
    <xf numFmtId="0" fontId="25" fillId="7" borderId="4" xfId="2" applyFont="1" applyFill="1" applyBorder="1" applyAlignment="1">
      <alignment horizontal="center" vertical="center" wrapText="1"/>
    </xf>
    <xf numFmtId="2" fontId="19" fillId="0" borderId="0" xfId="2" applyNumberFormat="1" applyFont="1" applyAlignment="1">
      <alignment horizontal="center" vertical="center"/>
    </xf>
    <xf numFmtId="43" fontId="23" fillId="0" borderId="4" xfId="2" applyNumberFormat="1" applyFont="1" applyBorder="1" applyAlignment="1">
      <alignment horizontal="center" vertical="center"/>
    </xf>
    <xf numFmtId="0" fontId="24" fillId="0" borderId="4" xfId="1" applyFont="1" applyBorder="1" applyAlignment="1">
      <alignment horizontal="center" vertical="center"/>
    </xf>
    <xf numFmtId="177" fontId="19" fillId="0" borderId="0" xfId="2" applyNumberFormat="1" applyFont="1" applyAlignment="1">
      <alignment horizontal="center" vertical="center"/>
    </xf>
    <xf numFmtId="176" fontId="30" fillId="8" borderId="0" xfId="2" applyNumberFormat="1" applyFont="1" applyFill="1" applyAlignment="1">
      <alignment horizontal="center" vertical="center"/>
    </xf>
    <xf numFmtId="0" fontId="30" fillId="8" borderId="0" xfId="2" applyFont="1" applyFill="1" applyAlignment="1">
      <alignment horizontal="center" vertical="center"/>
    </xf>
    <xf numFmtId="0" fontId="19" fillId="12" borderId="0" xfId="1" applyFont="1" applyFill="1" applyAlignment="1">
      <alignment horizontal="center" vertical="center"/>
    </xf>
    <xf numFmtId="177" fontId="19" fillId="14" borderId="0" xfId="2" applyNumberFormat="1" applyFont="1" applyFill="1" applyAlignment="1">
      <alignment horizontal="center" vertical="center"/>
    </xf>
    <xf numFmtId="177" fontId="31" fillId="0" borderId="4" xfId="2" applyNumberFormat="1" applyFont="1" applyBorder="1" applyAlignment="1">
      <alignment horizontal="center" vertical="center"/>
    </xf>
    <xf numFmtId="0" fontId="23" fillId="0" borderId="0" xfId="2" applyFont="1" applyAlignment="1">
      <alignment horizontal="center" vertical="center"/>
    </xf>
    <xf numFmtId="0" fontId="31" fillId="0" borderId="4" xfId="2" applyFont="1" applyBorder="1" applyAlignment="1">
      <alignment horizontal="center" vertical="center"/>
    </xf>
    <xf numFmtId="0" fontId="19" fillId="0" borderId="0" xfId="2" applyFont="1" applyAlignment="1">
      <alignment horizontal="center" vertical="center" wrapText="1"/>
    </xf>
    <xf numFmtId="49" fontId="31" fillId="0" borderId="4" xfId="2" quotePrefix="1" applyNumberFormat="1" applyFont="1" applyBorder="1" applyAlignment="1">
      <alignment horizontal="center" vertical="center"/>
    </xf>
    <xf numFmtId="0" fontId="31" fillId="0" borderId="9" xfId="2" applyFont="1" applyBorder="1" applyAlignment="1">
      <alignment horizontal="center" vertical="center"/>
    </xf>
    <xf numFmtId="14" fontId="31" fillId="0" borderId="9" xfId="2" applyNumberFormat="1" applyFont="1" applyBorder="1" applyAlignment="1">
      <alignment horizontal="center" vertical="center"/>
    </xf>
    <xf numFmtId="0" fontId="23" fillId="0" borderId="9" xfId="2" applyFont="1" applyBorder="1" applyAlignment="1">
      <alignment horizontal="center" vertical="center"/>
    </xf>
    <xf numFmtId="0" fontId="23" fillId="0" borderId="0" xfId="2" applyFont="1" applyAlignment="1">
      <alignment horizontal="left" vertical="center"/>
    </xf>
    <xf numFmtId="0" fontId="32" fillId="0" borderId="0" xfId="2" applyFont="1" applyAlignment="1">
      <alignment horizontal="center" vertical="center"/>
    </xf>
    <xf numFmtId="0" fontId="19" fillId="0" borderId="0" xfId="2" applyFont="1" applyAlignment="1">
      <alignment vertical="center"/>
    </xf>
    <xf numFmtId="0" fontId="18" fillId="0" borderId="0" xfId="2" applyAlignment="1">
      <alignment horizontal="center" vertical="center"/>
    </xf>
    <xf numFmtId="0" fontId="26" fillId="14" borderId="0" xfId="2" applyFont="1" applyFill="1" applyAlignment="1">
      <alignment horizontal="center" vertical="center"/>
    </xf>
    <xf numFmtId="0" fontId="26" fillId="0" borderId="0" xfId="2" applyFont="1" applyAlignment="1">
      <alignment horizontal="center" vertical="center" wrapText="1"/>
    </xf>
    <xf numFmtId="43" fontId="19" fillId="12" borderId="0" xfId="3" applyFont="1" applyFill="1" applyAlignment="1">
      <alignment horizontal="center" vertical="center"/>
    </xf>
    <xf numFmtId="43" fontId="19" fillId="12" borderId="0" xfId="4" applyFont="1" applyFill="1" applyAlignment="1">
      <alignment horizontal="center" vertical="center"/>
    </xf>
    <xf numFmtId="2" fontId="33" fillId="0" borderId="0" xfId="2" applyNumberFormat="1" applyFont="1" applyAlignment="1">
      <alignment horizontal="center" vertical="center"/>
    </xf>
    <xf numFmtId="2" fontId="19" fillId="12" borderId="0" xfId="2" applyNumberFormat="1" applyFont="1" applyFill="1" applyAlignment="1">
      <alignment horizontal="center" vertical="center"/>
    </xf>
    <xf numFmtId="49" fontId="19" fillId="0" borderId="0" xfId="2" applyNumberFormat="1" applyFont="1" applyAlignment="1">
      <alignment horizontal="center" vertical="center"/>
    </xf>
    <xf numFmtId="0" fontId="24" fillId="0" borderId="0" xfId="2" applyFont="1" applyAlignment="1">
      <alignment horizontal="center" vertical="center"/>
    </xf>
    <xf numFmtId="1" fontId="19" fillId="0" borderId="0" xfId="2" applyNumberFormat="1" applyFont="1" applyAlignment="1">
      <alignment horizontal="center" vertical="center"/>
    </xf>
    <xf numFmtId="43" fontId="19" fillId="0" borderId="0" xfId="4" applyFont="1" applyAlignment="1">
      <alignment horizontal="center" vertical="center"/>
    </xf>
    <xf numFmtId="0" fontId="7" fillId="7" borderId="4" xfId="2" applyFont="1" applyFill="1" applyBorder="1" applyAlignment="1">
      <alignment horizontal="center" vertical="center"/>
    </xf>
    <xf numFmtId="0" fontId="20" fillId="7" borderId="4" xfId="2" applyFont="1" applyFill="1" applyBorder="1" applyAlignment="1">
      <alignment horizontal="center" vertical="center"/>
    </xf>
    <xf numFmtId="0" fontId="19" fillId="7" borderId="4" xfId="2" applyFont="1" applyFill="1" applyBorder="1" applyAlignment="1">
      <alignment horizontal="center" vertical="center"/>
    </xf>
    <xf numFmtId="49" fontId="19" fillId="7" borderId="4" xfId="2" applyNumberFormat="1" applyFont="1" applyFill="1" applyBorder="1" applyAlignment="1">
      <alignment horizontal="center" vertical="center"/>
    </xf>
    <xf numFmtId="0" fontId="34" fillId="7" borderId="4" xfId="2" applyFont="1" applyFill="1" applyBorder="1" applyAlignment="1">
      <alignment horizontal="center" vertical="center"/>
    </xf>
    <xf numFmtId="0" fontId="19" fillId="7" borderId="4" xfId="2" applyFont="1" applyFill="1" applyBorder="1" applyAlignment="1">
      <alignment horizontal="center" vertical="center" wrapText="1"/>
    </xf>
    <xf numFmtId="0" fontId="7" fillId="15" borderId="4" xfId="2" applyFont="1" applyFill="1" applyBorder="1" applyAlignment="1">
      <alignment horizontal="center" vertical="center"/>
    </xf>
    <xf numFmtId="49" fontId="19" fillId="15" borderId="4" xfId="2" applyNumberFormat="1" applyFont="1" applyFill="1" applyBorder="1" applyAlignment="1">
      <alignment horizontal="center" vertical="center"/>
    </xf>
    <xf numFmtId="0" fontId="19" fillId="15" borderId="4" xfId="2" applyFont="1" applyFill="1" applyBorder="1" applyAlignment="1">
      <alignment horizontal="center" vertical="center"/>
    </xf>
    <xf numFmtId="0" fontId="20" fillId="15" borderId="4" xfId="2" applyFont="1" applyFill="1" applyBorder="1" applyAlignment="1">
      <alignment horizontal="center" vertical="center"/>
    </xf>
    <xf numFmtId="0" fontId="38" fillId="0" borderId="0" xfId="0" applyFont="1" applyAlignment="1">
      <alignment horizontal="center" vertical="center" wrapText="1"/>
    </xf>
    <xf numFmtId="0" fontId="39" fillId="9" borderId="2" xfId="0" applyFont="1" applyFill="1" applyBorder="1" applyAlignment="1">
      <alignment horizontal="center" vertical="center" wrapText="1"/>
    </xf>
    <xf numFmtId="0" fontId="5" fillId="10" borderId="1" xfId="0" applyFont="1" applyFill="1" applyBorder="1" applyAlignment="1">
      <alignment horizontal="center" vertical="center"/>
    </xf>
    <xf numFmtId="0" fontId="0" fillId="0" borderId="0" xfId="0" applyAlignment="1">
      <alignment horizontal="left" vertical="center"/>
    </xf>
    <xf numFmtId="0" fontId="0" fillId="3" borderId="10" xfId="0" applyFill="1" applyBorder="1" applyAlignment="1">
      <alignment horizontal="center" vertical="center"/>
    </xf>
    <xf numFmtId="14" fontId="0" fillId="0" borderId="0" xfId="0" applyNumberFormat="1">
      <alignment vertical="center"/>
    </xf>
    <xf numFmtId="0" fontId="7" fillId="0" borderId="0" xfId="0" applyFont="1">
      <alignment vertical="center"/>
    </xf>
    <xf numFmtId="14" fontId="0" fillId="3" borderId="10" xfId="0" applyNumberFormat="1" applyFill="1" applyBorder="1" applyAlignment="1">
      <alignment horizontal="center" vertical="center"/>
    </xf>
    <xf numFmtId="0" fontId="3" fillId="12" borderId="0" xfId="0" applyFont="1" applyFill="1">
      <alignment vertical="center"/>
    </xf>
    <xf numFmtId="0" fontId="0" fillId="7" borderId="0" xfId="0" applyFill="1" applyAlignment="1">
      <alignment horizontal="right" vertical="center"/>
    </xf>
    <xf numFmtId="0" fontId="0" fillId="7" borderId="0" xfId="0" applyFill="1" applyAlignment="1">
      <alignment horizontal="left" vertical="center"/>
    </xf>
    <xf numFmtId="0" fontId="0" fillId="7" borderId="0" xfId="0" applyFill="1">
      <alignment vertical="center"/>
    </xf>
    <xf numFmtId="0" fontId="0" fillId="0" borderId="0" xfId="0" quotePrefix="1">
      <alignment vertical="center"/>
    </xf>
    <xf numFmtId="0" fontId="44" fillId="9" borderId="2" xfId="0" applyFont="1" applyFill="1" applyBorder="1" applyAlignment="1">
      <alignment horizontal="center" vertical="center" wrapText="1"/>
    </xf>
    <xf numFmtId="0" fontId="20" fillId="0" borderId="0" xfId="2" applyFont="1" applyAlignment="1">
      <alignment horizontal="center" vertical="center" wrapText="1"/>
    </xf>
    <xf numFmtId="49" fontId="19" fillId="7" borderId="4" xfId="2" quotePrefix="1" applyNumberFormat="1" applyFont="1" applyFill="1" applyBorder="1" applyAlignment="1">
      <alignment horizontal="center" vertical="center"/>
    </xf>
    <xf numFmtId="4" fontId="0" fillId="0" borderId="0" xfId="0" applyNumberFormat="1">
      <alignment vertical="center"/>
    </xf>
    <xf numFmtId="49" fontId="19" fillId="0" borderId="9" xfId="2" applyNumberFormat="1" applyFont="1" applyBorder="1" applyAlignment="1">
      <alignment horizontal="center" vertical="center"/>
    </xf>
    <xf numFmtId="0" fontId="19" fillId="0" borderId="9" xfId="2" applyFont="1" applyBorder="1" applyAlignment="1">
      <alignment horizontal="center" vertical="center"/>
    </xf>
    <xf numFmtId="0" fontId="33" fillId="7" borderId="4" xfId="2" applyFont="1" applyFill="1" applyBorder="1" applyAlignment="1">
      <alignment horizontal="center" vertical="center"/>
    </xf>
    <xf numFmtId="0" fontId="33" fillId="15" borderId="4" xfId="2" applyFont="1" applyFill="1" applyBorder="1" applyAlignment="1">
      <alignment horizontal="center" vertical="center"/>
    </xf>
    <xf numFmtId="0" fontId="0" fillId="0" borderId="0" xfId="0" applyAlignment="1">
      <alignment vertical="center" wrapText="1"/>
    </xf>
    <xf numFmtId="49" fontId="0" fillId="10" borderId="1" xfId="0" quotePrefix="1" applyNumberFormat="1" applyFill="1" applyBorder="1" applyAlignment="1">
      <alignment horizontal="center" vertical="center"/>
    </xf>
    <xf numFmtId="0" fontId="51" fillId="0" borderId="0" xfId="0" applyFont="1">
      <alignment vertical="center"/>
    </xf>
    <xf numFmtId="0" fontId="52" fillId="0" borderId="0" xfId="0" applyFont="1">
      <alignment vertical="center"/>
    </xf>
    <xf numFmtId="0" fontId="0" fillId="18" borderId="0" xfId="0" applyFill="1">
      <alignment vertical="center"/>
    </xf>
    <xf numFmtId="49" fontId="0" fillId="18" borderId="0" xfId="0" applyNumberFormat="1" applyFill="1">
      <alignment vertical="center"/>
    </xf>
    <xf numFmtId="0" fontId="55" fillId="19" borderId="14" xfId="0" applyFont="1" applyFill="1" applyBorder="1" applyAlignment="1">
      <alignment vertical="center" wrapText="1"/>
    </xf>
    <xf numFmtId="0" fontId="0" fillId="20" borderId="0" xfId="0" applyFill="1" applyAlignment="1">
      <alignment horizontal="center" vertical="center"/>
    </xf>
    <xf numFmtId="49" fontId="0" fillId="21" borderId="0" xfId="0" quotePrefix="1" applyNumberFormat="1" applyFill="1" applyAlignment="1">
      <alignment horizontal="center" vertical="center"/>
    </xf>
    <xf numFmtId="0" fontId="0" fillId="21" borderId="0" xfId="0" applyFill="1" applyAlignment="1">
      <alignment horizontal="center" vertical="center"/>
    </xf>
    <xf numFmtId="0" fontId="0" fillId="21" borderId="2" xfId="0" applyFill="1" applyBorder="1" applyAlignment="1">
      <alignment horizontal="center" vertical="center"/>
    </xf>
    <xf numFmtId="0" fontId="5" fillId="21" borderId="0" xfId="0" applyFont="1" applyFill="1" applyAlignment="1">
      <alignment horizontal="center" vertical="center"/>
    </xf>
    <xf numFmtId="49" fontId="0" fillId="21" borderId="1" xfId="0" quotePrefix="1" applyNumberFormat="1" applyFill="1" applyBorder="1" applyAlignment="1">
      <alignment horizontal="center" vertical="center"/>
    </xf>
    <xf numFmtId="0" fontId="0" fillId="21" borderId="1" xfId="0" applyFill="1" applyBorder="1" applyAlignment="1">
      <alignment horizontal="center" vertical="center"/>
    </xf>
    <xf numFmtId="0" fontId="5" fillId="21" borderId="1" xfId="0" applyFont="1" applyFill="1" applyBorder="1" applyAlignment="1">
      <alignment horizontal="center" vertical="center"/>
    </xf>
    <xf numFmtId="0" fontId="0" fillId="22" borderId="1" xfId="0" applyFill="1" applyBorder="1" applyAlignment="1">
      <alignment horizontal="center" vertical="center"/>
    </xf>
    <xf numFmtId="0" fontId="54" fillId="0" borderId="0" xfId="0" applyFont="1">
      <alignment vertical="center"/>
    </xf>
    <xf numFmtId="0" fontId="57" fillId="0" borderId="0" xfId="0" applyFont="1">
      <alignment vertical="center"/>
    </xf>
    <xf numFmtId="0" fontId="0" fillId="23" borderId="0" xfId="0" applyFill="1">
      <alignment vertical="center"/>
    </xf>
    <xf numFmtId="0" fontId="5" fillId="23" borderId="13" xfId="1" applyFont="1" applyFill="1" applyBorder="1">
      <alignment vertical="center"/>
    </xf>
    <xf numFmtId="0" fontId="5" fillId="24" borderId="13" xfId="1" applyFont="1" applyFill="1" applyBorder="1">
      <alignment vertical="center"/>
    </xf>
    <xf numFmtId="0" fontId="5" fillId="0" borderId="0" xfId="0" applyFont="1" applyAlignment="1" applyProtection="1">
      <alignment horizontal="left" vertical="center" wrapText="1"/>
      <protection locked="0"/>
    </xf>
    <xf numFmtId="0" fontId="0" fillId="16" borderId="11" xfId="0" applyFill="1" applyBorder="1" applyAlignment="1">
      <alignment horizontal="center" vertical="center"/>
    </xf>
    <xf numFmtId="0" fontId="0" fillId="16" borderId="12" xfId="0" applyFill="1" applyBorder="1" applyAlignment="1">
      <alignment horizontal="center" vertical="center"/>
    </xf>
    <xf numFmtId="0" fontId="3" fillId="16" borderId="11" xfId="0" applyFont="1" applyFill="1" applyBorder="1" applyAlignment="1">
      <alignment horizontal="center" vertical="center"/>
    </xf>
    <xf numFmtId="0" fontId="3" fillId="16" borderId="12" xfId="0" applyFont="1" applyFill="1" applyBorder="1" applyAlignment="1">
      <alignment horizontal="center" vertical="center"/>
    </xf>
    <xf numFmtId="0" fontId="0" fillId="0" borderId="0" xfId="0" applyAlignment="1">
      <alignment horizontal="left" vertical="center" wrapText="1"/>
    </xf>
    <xf numFmtId="0" fontId="0" fillId="0" borderId="0" xfId="0" applyAlignment="1">
      <alignment horizontal="left" vertical="center"/>
    </xf>
    <xf numFmtId="0" fontId="5" fillId="0" borderId="0" xfId="0" applyFont="1" applyAlignment="1">
      <alignment horizontal="left" vertical="center" wrapText="1"/>
    </xf>
    <xf numFmtId="0" fontId="5" fillId="0" borderId="0" xfId="0" applyFont="1" applyAlignment="1">
      <alignment horizontal="left" vertical="center"/>
    </xf>
    <xf numFmtId="0" fontId="21" fillId="0" borderId="7" xfId="2" applyFont="1" applyBorder="1" applyAlignment="1">
      <alignment horizontal="center" vertical="center"/>
    </xf>
    <xf numFmtId="0" fontId="21" fillId="0" borderId="8" xfId="2" applyFont="1" applyBorder="1" applyAlignment="1">
      <alignment horizontal="center" vertical="center"/>
    </xf>
    <xf numFmtId="0" fontId="19" fillId="0" borderId="0" xfId="2" applyFont="1" applyAlignment="1">
      <alignment horizontal="center" vertical="center"/>
    </xf>
    <xf numFmtId="0" fontId="19" fillId="7" borderId="4" xfId="2" applyFont="1" applyFill="1" applyBorder="1" applyAlignment="1">
      <alignment horizontal="center" vertical="center"/>
    </xf>
    <xf numFmtId="0" fontId="60" fillId="0" borderId="17" xfId="0" applyFont="1" applyBorder="1" applyAlignment="1">
      <alignment horizontal="center" vertical="center" wrapText="1"/>
    </xf>
    <xf numFmtId="0" fontId="12" fillId="0" borderId="18" xfId="0" applyFont="1" applyBorder="1" applyAlignment="1">
      <alignment horizontal="center" vertical="center" wrapText="1"/>
    </xf>
    <xf numFmtId="0" fontId="58" fillId="0" borderId="18" xfId="0" applyFont="1" applyBorder="1" applyAlignment="1">
      <alignment horizontal="center" vertical="center" wrapText="1"/>
    </xf>
    <xf numFmtId="0" fontId="5" fillId="0" borderId="19" xfId="0" applyFont="1" applyBorder="1" applyAlignment="1">
      <alignment horizontal="center" vertical="center" wrapText="1"/>
    </xf>
    <xf numFmtId="0" fontId="60" fillId="0" borderId="15" xfId="0" applyFont="1" applyBorder="1" applyAlignment="1">
      <alignment horizontal="center" vertical="center" wrapText="1"/>
    </xf>
    <xf numFmtId="0" fontId="60" fillId="0" borderId="16" xfId="0" applyFont="1" applyBorder="1" applyAlignment="1">
      <alignment horizontal="center" vertical="center" wrapText="1"/>
    </xf>
    <xf numFmtId="0" fontId="5" fillId="0" borderId="15" xfId="0" applyFont="1" applyBorder="1" applyAlignment="1">
      <alignment horizontal="center" vertical="center" wrapText="1"/>
    </xf>
    <xf numFmtId="0" fontId="5" fillId="0" borderId="16" xfId="0" applyFont="1" applyBorder="1" applyAlignment="1">
      <alignment horizontal="center" vertical="center" wrapText="1"/>
    </xf>
    <xf numFmtId="0" fontId="53" fillId="0" borderId="15" xfId="0" applyFont="1" applyBorder="1" applyAlignment="1">
      <alignment horizontal="center" vertical="center" wrapText="1"/>
    </xf>
    <xf numFmtId="0" fontId="53" fillId="0" borderId="16" xfId="0" applyFont="1" applyBorder="1" applyAlignment="1">
      <alignment horizontal="center" vertical="center" wrapText="1"/>
    </xf>
    <xf numFmtId="0" fontId="5" fillId="0" borderId="18" xfId="0" applyFont="1" applyBorder="1" applyAlignment="1">
      <alignment horizontal="center" vertical="center" wrapText="1"/>
    </xf>
    <xf numFmtId="9" fontId="53" fillId="0" borderId="15" xfId="0" applyNumberFormat="1" applyFont="1" applyBorder="1" applyAlignment="1">
      <alignment horizontal="center" vertical="center" wrapText="1"/>
    </xf>
    <xf numFmtId="9" fontId="53" fillId="0" borderId="16" xfId="0" applyNumberFormat="1" applyFont="1" applyBorder="1" applyAlignment="1">
      <alignment horizontal="center" vertical="center" wrapText="1"/>
    </xf>
    <xf numFmtId="10" fontId="58" fillId="0" borderId="15" xfId="0" applyNumberFormat="1" applyFont="1" applyBorder="1" applyAlignment="1">
      <alignment horizontal="center" vertical="center" wrapText="1"/>
    </xf>
    <xf numFmtId="10" fontId="58" fillId="0" borderId="16" xfId="0" applyNumberFormat="1" applyFont="1" applyBorder="1" applyAlignment="1">
      <alignment horizontal="center" vertical="center" wrapText="1"/>
    </xf>
  </cellXfs>
  <cellStyles count="10">
    <cellStyle name="blp_column_header" xfId="9" xr:uid="{47377D58-4862-4C6E-AE5C-C08CDE6AF651}"/>
    <cellStyle name="Comma 8" xfId="7" xr:uid="{DB59D48A-7C50-44D4-B50F-3E459FD6C500}"/>
    <cellStyle name="一般" xfId="0" builtinId="0"/>
    <cellStyle name="一般 2" xfId="1" xr:uid="{9B881D3D-5315-436F-AD80-31DCC4238587}"/>
    <cellStyle name="一般 2 2" xfId="2" xr:uid="{B611DBF0-7CB5-4171-8AF0-6627CD44B555}"/>
    <cellStyle name="一般 3" xfId="5" xr:uid="{45FF4DE7-C915-4163-BA9D-6D13E47298F8}"/>
    <cellStyle name="千分位 2" xfId="3" xr:uid="{6349F0BE-B49E-4ABB-86D3-031350AD494D}"/>
    <cellStyle name="千分位 2 2" xfId="4" xr:uid="{4D35A8FF-A51A-434D-8418-E9DBDBBBFB1A}"/>
    <cellStyle name="千分位 3" xfId="6" xr:uid="{00B3A1C9-702C-48C1-B68F-35982C6B5F9C}"/>
    <cellStyle name="百分比 2" xfId="8" xr:uid="{1E23DC61-BD80-48AA-9ECA-E971325972D3}"/>
  </cellStyles>
  <dxfs count="22">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numFmt numFmtId="30" formatCode="@"/>
    </dxf>
    <dxf>
      <font>
        <strike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fill>
        <patternFill patternType="none">
          <fgColor indexed="64"/>
          <bgColor auto="1"/>
        </patternFill>
      </fill>
    </dxf>
  </dxfs>
  <tableStyles count="0" defaultTableStyle="TableStyleMedium2" defaultPivotStyle="PivotStyleLight16"/>
  <colors>
    <mruColors>
      <color rgb="FF217166"/>
      <color rgb="FF31A998"/>
      <color rgb="FF1F6B60"/>
      <color rgb="FF37BFAC"/>
      <color rgb="FF2C988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314325</xdr:colOff>
          <xdr:row>3</xdr:row>
          <xdr:rowOff>123825</xdr:rowOff>
        </xdr:from>
        <xdr:to>
          <xdr:col>7</xdr:col>
          <xdr:colOff>409575</xdr:colOff>
          <xdr:row>6</xdr:row>
          <xdr:rowOff>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zh-TW" altLang="en-US" sz="16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314325</xdr:colOff>
          <xdr:row>7</xdr:row>
          <xdr:rowOff>66675</xdr:rowOff>
        </xdr:from>
        <xdr:to>
          <xdr:col>7</xdr:col>
          <xdr:colOff>409575</xdr:colOff>
          <xdr:row>9</xdr:row>
          <xdr:rowOff>142875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zh-TW" altLang="en-US" sz="1600" b="0" i="0" u="none" strike="noStrike" baseline="0">
                  <a:solidFill>
                    <a:srgbClr val="000000"/>
                  </a:solidFill>
                  <a:latin typeface="Calibri"/>
                  <a:cs typeface="Calibri"/>
                </a:rPr>
                <a:t>Export</a:t>
              </a:r>
            </a:p>
          </xdr:txBody>
        </xdr:sp>
        <xdr:clientData fPrintsWithSheet="0"/>
      </xdr:twoCellAnchor>
    </mc:Choice>
    <mc:Fallback/>
  </mc:AlternateContent>
  <xdr:twoCellAnchor editAs="oneCell">
    <xdr:from>
      <xdr:col>7</xdr:col>
      <xdr:colOff>838200</xdr:colOff>
      <xdr:row>4</xdr:row>
      <xdr:rowOff>123825</xdr:rowOff>
    </xdr:from>
    <xdr:to>
      <xdr:col>8</xdr:col>
      <xdr:colOff>552450</xdr:colOff>
      <xdr:row>7</xdr:row>
      <xdr:rowOff>190500</xdr:rowOff>
    </xdr:to>
    <xdr:pic macro="[0]!CreateEmailWithAttachments">
      <xdr:nvPicPr>
        <xdr:cNvPr id="5" name="圖片 4">
          <a:extLst>
            <a:ext uri="{FF2B5EF4-FFF2-40B4-BE49-F238E27FC236}">
              <a16:creationId xmlns:a16="http://schemas.microsoft.com/office/drawing/2014/main" id="{6AFD3D68-6A05-C7EB-1468-3D603E7DC21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915150" y="1971675"/>
          <a:ext cx="666750" cy="666750"/>
        </a:xfrm>
        <a:prstGeom prst="rect">
          <a:avLst/>
        </a:prstGeom>
        <a:effectLst>
          <a:outerShdw blurRad="50800" dist="38100" dir="2700000" algn="tl" rotWithShape="0">
            <a:prstClr val="black">
              <a:alpha val="40000"/>
            </a:prstClr>
          </a:outerShdw>
        </a:effectLst>
      </xdr:spPr>
    </xdr:pic>
    <xdr:clientData/>
  </xdr:twoCellAnchor>
  <mc:AlternateContent xmlns:mc="http://schemas.openxmlformats.org/markup-compatibility/2006">
    <mc:Choice xmlns:a14="http://schemas.microsoft.com/office/drawing/2010/main" Requires="a14">
      <xdr:twoCellAnchor>
        <xdr:from>
          <xdr:col>9</xdr:col>
          <xdr:colOff>38100</xdr:colOff>
          <xdr:row>5</xdr:row>
          <xdr:rowOff>38100</xdr:rowOff>
        </xdr:from>
        <xdr:to>
          <xdr:col>9</xdr:col>
          <xdr:colOff>942975</xdr:colOff>
          <xdr:row>7</xdr:row>
          <xdr:rowOff>47625</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zh-TW" altLang="en-US" sz="1600" b="0" i="0" u="none" strike="noStrike" baseline="0">
                  <a:solidFill>
                    <a:srgbClr val="000000"/>
                  </a:solidFill>
                  <a:latin typeface="Calibri"/>
                  <a:cs typeface="Calibri"/>
                </a:rPr>
                <a:t>Reset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4</xdr:col>
          <xdr:colOff>1143000</xdr:colOff>
          <xdr:row>1</xdr:row>
          <xdr:rowOff>142875</xdr:rowOff>
        </xdr:to>
        <xdr:sp macro="" textlink="">
          <xdr:nvSpPr>
            <xdr:cNvPr id="13327" name="Button 15" hidden="1">
              <a:extLst>
                <a:ext uri="{63B3BB69-23CF-44E3-9099-C40C66FF867C}">
                  <a14:compatExt spid="_x0000_s13327"/>
                </a:ext>
                <a:ext uri="{FF2B5EF4-FFF2-40B4-BE49-F238E27FC236}">
                  <a16:creationId xmlns:a16="http://schemas.microsoft.com/office/drawing/2014/main" id="{FD851E49-55E3-605F-9638-A4AABE7CF1DF}"/>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200" b="0" i="0" u="none" strike="noStrike" baseline="0">
                  <a:solidFill>
                    <a:srgbClr val="000000"/>
                  </a:solidFill>
                  <a:latin typeface="Calibri"/>
                  <a:cs typeface="Calibri"/>
                </a:rPr>
                <a:t>清空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0</xdr:row>
          <xdr:rowOff>0</xdr:rowOff>
        </xdr:from>
        <xdr:to>
          <xdr:col>6</xdr:col>
          <xdr:colOff>457200</xdr:colOff>
          <xdr:row>1</xdr:row>
          <xdr:rowOff>142875</xdr:rowOff>
        </xdr:to>
        <xdr:sp macro="" textlink="">
          <xdr:nvSpPr>
            <xdr:cNvPr id="13328" name="Button 16" hidden="1">
              <a:extLst>
                <a:ext uri="{63B3BB69-23CF-44E3-9099-C40C66FF867C}">
                  <a14:compatExt spid="_x0000_s13328"/>
                </a:ext>
                <a:ext uri="{FF2B5EF4-FFF2-40B4-BE49-F238E27FC236}">
                  <a16:creationId xmlns:a16="http://schemas.microsoft.com/office/drawing/2014/main" id="{1FF37730-A565-75EF-E1B2-EE3C3982D98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200" b="0" i="0" u="none" strike="noStrike" baseline="0">
                  <a:solidFill>
                    <a:srgbClr val="000000"/>
                  </a:solidFill>
                  <a:latin typeface="Calibri"/>
                  <a:cs typeface="Calibri"/>
                </a:rPr>
                <a:t>填入</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eshq-srs\GMD_DISK\Bond%20Data\PM&#20107;&#38917;\0.&#24120;&#29992;&#24037;&#20855;\ELN&#24314;&#27284;&#20351;&#29992;_&#36890;&#29992;.xlsm" TargetMode="External"/><Relationship Id="rId1" Type="http://schemas.openxmlformats.org/officeDocument/2006/relationships/externalLinkPath" Target="file:///\\eshq-srs\GMD_DISK\Bond%20Data\PM&#20107;&#38917;\0.&#24120;&#29992;&#24037;&#20855;\ELN&#24314;&#27284;&#20351;&#29992;_&#36890;&#2999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待建檔_截至20250912"/>
      <sheetName val="ELN待建檔_202509"/>
      <sheetName val="待匯入比價大表"/>
      <sheetName val="原始資料_待調整"/>
      <sheetName val="ELN待建檔_202510"/>
      <sheetName val="ELN待建檔_202511"/>
      <sheetName val="ELN待建檔_202512"/>
      <sheetName val="ELN待建檔_202601"/>
      <sheetName val="ELN待建檔_202602"/>
      <sheetName val="ELN待建檔_202603"/>
      <sheetName val="ELN待建檔_202604"/>
      <sheetName val="ELN待建檔_202605"/>
      <sheetName val="ELN待建檔_202606"/>
      <sheetName val="ELN待建檔_202607"/>
      <sheetName val="ELN待建檔_202608"/>
      <sheetName val="ELN待建檔_202609"/>
      <sheetName val="ELN待建檔_202610"/>
      <sheetName val="原始資料"/>
      <sheetName val="檢核表工作區"/>
      <sheetName val="境外結構型商品承作檢核表"/>
      <sheetName val="BBG_data"/>
      <sheetName val="工作表2"/>
      <sheetName val="連結標的清單"/>
      <sheetName val="Mapping"/>
      <sheetName val="個別觀察"/>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row r="1">
          <cell r="B1">
            <v>46300</v>
          </cell>
          <cell r="C1">
            <v>46300</v>
          </cell>
        </row>
        <row r="2">
          <cell r="B2" t="str">
            <v>代碼(值)</v>
          </cell>
          <cell r="C2" t="str">
            <v>公司名稱</v>
          </cell>
          <cell r="D2" t="str">
            <v>最新收盤價(值)</v>
          </cell>
          <cell r="E2" t="str">
            <v>最新開盤價(值)</v>
          </cell>
          <cell r="F2" t="str">
            <v>1日前收盤價(值)</v>
          </cell>
          <cell r="G2" t="str">
            <v>200日波動率(值)</v>
          </cell>
          <cell r="H2" t="str">
            <v>市值(原幣/百萬)(值)</v>
          </cell>
        </row>
        <row r="3">
          <cell r="H3"/>
        </row>
        <row r="4">
          <cell r="B4" t="str">
            <v>USOSFR10</v>
          </cell>
          <cell r="C4" t="str">
            <v>USD OIS ANN VS SOFR 10Y</v>
          </cell>
          <cell r="D4">
            <v>4.8661000000000003</v>
          </cell>
          <cell r="E4">
            <v>4.84</v>
          </cell>
          <cell r="F4">
            <v>4.8661000000000003</v>
          </cell>
          <cell r="G4">
            <v>16.126999999999999</v>
          </cell>
          <cell r="H4"/>
        </row>
        <row r="5">
          <cell r="B5" t="str">
            <v>AUDUSD</v>
          </cell>
          <cell r="C5" t="str">
            <v>AUD-USD X-RATE</v>
          </cell>
          <cell r="D5">
            <v>0.6956</v>
          </cell>
          <cell r="E5">
            <v>0.69310000000000005</v>
          </cell>
          <cell r="F5">
            <v>0.6956</v>
          </cell>
          <cell r="G5">
            <v>8.3849999999999998</v>
          </cell>
          <cell r="H5"/>
        </row>
        <row r="6">
          <cell r="B6" t="str">
            <v>CADUSD</v>
          </cell>
          <cell r="C6" t="str">
            <v>CAD-USD X-RATE</v>
          </cell>
          <cell r="D6">
            <v>0.70169999999999999</v>
          </cell>
          <cell r="E6">
            <v>0.70320000000000005</v>
          </cell>
          <cell r="F6">
            <v>0.70169999999999999</v>
          </cell>
          <cell r="G6">
            <v>4.4630000000000001</v>
          </cell>
          <cell r="H6"/>
        </row>
        <row r="7">
          <cell r="B7" t="str">
            <v>CNHUSD</v>
          </cell>
          <cell r="C7" t="str">
            <v>CNH-USD Cross Rate</v>
          </cell>
          <cell r="D7">
            <v>0.14910000000000001</v>
          </cell>
          <cell r="E7">
            <v>0.1489</v>
          </cell>
          <cell r="F7">
            <v>0.14910000000000001</v>
          </cell>
          <cell r="G7">
            <v>2.4910000000000001</v>
          </cell>
          <cell r="H7"/>
        </row>
        <row r="8">
          <cell r="B8" t="str">
            <v>EURUSD</v>
          </cell>
          <cell r="C8" t="str">
            <v>EUR-USD X-RATE</v>
          </cell>
          <cell r="D8">
            <v>1.1254999999999999</v>
          </cell>
          <cell r="E8">
            <v>1.1244000000000001</v>
          </cell>
          <cell r="F8">
            <v>1.1254999999999999</v>
          </cell>
          <cell r="G8">
            <v>5.77</v>
          </cell>
          <cell r="H8"/>
        </row>
        <row r="9">
          <cell r="B9" t="str">
            <v>GBPUSD</v>
          </cell>
          <cell r="C9" t="str">
            <v>GBP-USD X-RATE</v>
          </cell>
          <cell r="D9">
            <v>1.3241000000000001</v>
          </cell>
          <cell r="E9">
            <v>1.3197000000000001</v>
          </cell>
          <cell r="F9">
            <v>1.3241000000000001</v>
          </cell>
          <cell r="G9">
            <v>6.4009999999999998</v>
          </cell>
          <cell r="H9"/>
        </row>
        <row r="10">
          <cell r="B10" t="str">
            <v>HKDUSD</v>
          </cell>
          <cell r="C10" t="str">
            <v>HKD-USD X-RATE</v>
          </cell>
          <cell r="D10">
            <v>0.12740000000000001</v>
          </cell>
          <cell r="E10">
            <v>0.1275</v>
          </cell>
          <cell r="F10">
            <v>0.12740000000000001</v>
          </cell>
          <cell r="G10">
            <v>0.58499999999999996</v>
          </cell>
          <cell r="H10"/>
        </row>
        <row r="11">
          <cell r="B11" t="str">
            <v>JPYUSD</v>
          </cell>
          <cell r="C11" t="str">
            <v>JPY-USD X-RATE</v>
          </cell>
          <cell r="D11">
            <v>6.3E-3</v>
          </cell>
          <cell r="E11">
            <v>6.3E-3</v>
          </cell>
          <cell r="F11">
            <v>6.3E-3</v>
          </cell>
          <cell r="G11">
            <v>8.2759999999999998</v>
          </cell>
          <cell r="H11"/>
        </row>
        <row r="12">
          <cell r="B12" t="str">
            <v>USDJPY</v>
          </cell>
          <cell r="C12" t="str">
            <v>USD-JPY X-RATE</v>
          </cell>
          <cell r="D12">
            <v>157.85</v>
          </cell>
          <cell r="E12">
            <v>158.09</v>
          </cell>
          <cell r="F12">
            <v>157.85</v>
          </cell>
          <cell r="G12">
            <v>8.2789999999999999</v>
          </cell>
          <cell r="H12"/>
        </row>
        <row r="13">
          <cell r="B13" t="str">
            <v>USDHKD</v>
          </cell>
          <cell r="C13" t="str">
            <v>USD-HKD X-RATE</v>
          </cell>
          <cell r="D13">
            <v>7.8475000000000001</v>
          </cell>
          <cell r="E13">
            <v>7.8459000000000003</v>
          </cell>
          <cell r="F13">
            <v>7.8475000000000001</v>
          </cell>
          <cell r="G13">
            <v>0.59</v>
          </cell>
          <cell r="H13"/>
        </row>
        <row r="14">
          <cell r="B14" t="str">
            <v>AUDHKD</v>
          </cell>
          <cell r="C14" t="str">
            <v>AUD-HKD X-RATE</v>
          </cell>
          <cell r="D14">
            <v>5.4593999999999996</v>
          </cell>
          <cell r="E14">
            <v>5.4379999999999997</v>
          </cell>
          <cell r="F14">
            <v>5.4593999999999996</v>
          </cell>
          <cell r="G14">
            <v>8.4480000000000004</v>
          </cell>
          <cell r="H14"/>
        </row>
        <row r="15">
          <cell r="B15" t="str">
            <v>AUDJPY</v>
          </cell>
          <cell r="C15" t="str">
            <v>AUD-JPY X-RATE</v>
          </cell>
          <cell r="D15">
            <v>109.768</v>
          </cell>
          <cell r="E15">
            <v>109.569</v>
          </cell>
          <cell r="F15">
            <v>109.768</v>
          </cell>
          <cell r="G15">
            <v>8.4120000000000008</v>
          </cell>
          <cell r="H15"/>
        </row>
        <row r="16">
          <cell r="B16" t="str">
            <v>CADHKD</v>
          </cell>
          <cell r="C16" t="str">
            <v>CAD-HKD X-RATE</v>
          </cell>
          <cell r="D16">
            <v>5.5072999999999999</v>
          </cell>
          <cell r="E16">
            <v>5.5170000000000003</v>
          </cell>
          <cell r="F16">
            <v>5.5072999999999999</v>
          </cell>
          <cell r="G16">
            <v>4.4690000000000003</v>
          </cell>
          <cell r="H16"/>
        </row>
        <row r="17">
          <cell r="B17" t="str">
            <v>CADJPY</v>
          </cell>
          <cell r="C17" t="str">
            <v>CAD-JPY X-RATE</v>
          </cell>
          <cell r="D17">
            <v>110.687</v>
          </cell>
          <cell r="E17">
            <v>111.17700000000001</v>
          </cell>
          <cell r="F17">
            <v>110.687</v>
          </cell>
          <cell r="G17">
            <v>7.2869999999999999</v>
          </cell>
          <cell r="H17"/>
        </row>
        <row r="18">
          <cell r="B18" t="str">
            <v>CNHHKD</v>
          </cell>
          <cell r="C18" t="str">
            <v>CNH-HKD Cross Rate</v>
          </cell>
          <cell r="D18">
            <v>1.1701999999999999</v>
          </cell>
          <cell r="E18">
            <v>1.1685000000000001</v>
          </cell>
          <cell r="F18">
            <v>1.1701999999999999</v>
          </cell>
          <cell r="G18">
            <v>2.5880000000000001</v>
          </cell>
          <cell r="H18"/>
        </row>
        <row r="19">
          <cell r="B19" t="str">
            <v>CNHJPY</v>
          </cell>
          <cell r="C19" t="str">
            <v>CNH-JPY Cross Rate</v>
          </cell>
          <cell r="D19">
            <v>23.533100000000001</v>
          </cell>
          <cell r="E19">
            <v>23.539200000000001</v>
          </cell>
          <cell r="F19">
            <v>23.533100000000001</v>
          </cell>
          <cell r="G19">
            <v>7.6710000000000003</v>
          </cell>
          <cell r="H19"/>
        </row>
        <row r="20">
          <cell r="B20" t="str">
            <v>EURHKD</v>
          </cell>
          <cell r="C20" t="str">
            <v>EUR-HKD X-RATE</v>
          </cell>
          <cell r="D20">
            <v>8.8308999999999997</v>
          </cell>
          <cell r="E20">
            <v>8.8213000000000008</v>
          </cell>
          <cell r="F20">
            <v>8.8308999999999997</v>
          </cell>
          <cell r="G20">
            <v>5.7859999999999996</v>
          </cell>
          <cell r="H20"/>
        </row>
        <row r="21">
          <cell r="B21" t="str">
            <v>EURJPY</v>
          </cell>
          <cell r="C21" t="str">
            <v>EUR-JPY X-RATE</v>
          </cell>
          <cell r="D21">
            <v>177.66</v>
          </cell>
          <cell r="E21">
            <v>177.75</v>
          </cell>
          <cell r="F21">
            <v>177.66</v>
          </cell>
          <cell r="G21">
            <v>6.6909999999999998</v>
          </cell>
          <cell r="H21"/>
        </row>
        <row r="22">
          <cell r="B22" t="str">
            <v>GBPHKD</v>
          </cell>
          <cell r="C22" t="str">
            <v>GBP-HKD X-RATE</v>
          </cell>
          <cell r="D22">
            <v>10.391299999999999</v>
          </cell>
          <cell r="E22">
            <v>10.354100000000001</v>
          </cell>
          <cell r="F22">
            <v>10.391299999999999</v>
          </cell>
          <cell r="G22">
            <v>6.3940000000000001</v>
          </cell>
          <cell r="H22"/>
        </row>
        <row r="23">
          <cell r="B23" t="str">
            <v>GBPJPY</v>
          </cell>
          <cell r="C23" t="str">
            <v>GBP-JPY X-RATE</v>
          </cell>
          <cell r="D23">
            <v>209.00800000000001</v>
          </cell>
          <cell r="E23">
            <v>208.626</v>
          </cell>
          <cell r="F23">
            <v>209.00800000000001</v>
          </cell>
          <cell r="G23">
            <v>7.0869999999999997</v>
          </cell>
          <cell r="H23"/>
        </row>
        <row r="24">
          <cell r="B24" t="str">
            <v>HKDJPY</v>
          </cell>
          <cell r="C24" t="str">
            <v>HKD-JPY X-RATE</v>
          </cell>
          <cell r="D24">
            <v>20.1175</v>
          </cell>
          <cell r="E24">
            <v>20.148</v>
          </cell>
          <cell r="F24">
            <v>20.1175</v>
          </cell>
          <cell r="G24">
            <v>8.2680000000000007</v>
          </cell>
          <cell r="H24"/>
        </row>
        <row r="25">
          <cell r="B25" t="str">
            <v>JPYHKD</v>
          </cell>
          <cell r="C25" t="str">
            <v>JPY-HKD X-RATE(x100)</v>
          </cell>
          <cell r="D25">
            <v>4.9711999999999996</v>
          </cell>
          <cell r="E25">
            <v>4.9629000000000003</v>
          </cell>
          <cell r="F25">
            <v>4.9711999999999996</v>
          </cell>
          <cell r="G25">
            <v>8.2729999999999997</v>
          </cell>
          <cell r="H25"/>
        </row>
        <row r="26">
          <cell r="B26" t="str">
            <v>ZARUSD</v>
          </cell>
          <cell r="C26" t="str">
            <v>ZAR-USD X-RATE</v>
          </cell>
          <cell r="D26">
            <v>0.06</v>
          </cell>
          <cell r="E26">
            <v>5.9900000000000002E-2</v>
          </cell>
          <cell r="F26">
            <v>0.06</v>
          </cell>
          <cell r="G26">
            <v>12.837999999999999</v>
          </cell>
          <cell r="H26"/>
        </row>
        <row r="27">
          <cell r="B27" t="str">
            <v>ZARHKD</v>
          </cell>
          <cell r="C27" t="str">
            <v>ZAR-HKD X-RATE</v>
          </cell>
          <cell r="D27">
            <v>0.47110000000000002</v>
          </cell>
          <cell r="E27">
            <v>0.47</v>
          </cell>
          <cell r="F27">
            <v>0.47110000000000002</v>
          </cell>
          <cell r="G27">
            <v>12.872</v>
          </cell>
          <cell r="H27"/>
        </row>
        <row r="28">
          <cell r="B28" t="str">
            <v>ZARJPY</v>
          </cell>
          <cell r="C28" t="str">
            <v>ZAR-JPY X-RATE</v>
          </cell>
          <cell r="D28">
            <v>9.4712999999999994</v>
          </cell>
          <cell r="E28">
            <v>9.4713999999999992</v>
          </cell>
          <cell r="F28">
            <v>9.4712999999999994</v>
          </cell>
          <cell r="G28">
            <v>11.644</v>
          </cell>
          <cell r="H28"/>
        </row>
        <row r="29">
          <cell r="B29" t="str">
            <v>USDAUD</v>
          </cell>
          <cell r="C29" t="str">
            <v>USD-AUD X-RATE</v>
          </cell>
          <cell r="D29">
            <v>1.4376</v>
          </cell>
          <cell r="E29">
            <v>1.4429000000000001</v>
          </cell>
          <cell r="F29">
            <v>1.4376</v>
          </cell>
          <cell r="G29">
            <v>8.3960000000000008</v>
          </cell>
          <cell r="H29"/>
        </row>
        <row r="30">
          <cell r="B30" t="str">
            <v>USDCAD</v>
          </cell>
          <cell r="C30" t="str">
            <v>USD-CAD X-RATE</v>
          </cell>
          <cell r="D30">
            <v>1.4251</v>
          </cell>
          <cell r="E30">
            <v>1.4221999999999999</v>
          </cell>
          <cell r="F30">
            <v>1.4251</v>
          </cell>
          <cell r="G30">
            <v>4.4580000000000002</v>
          </cell>
          <cell r="H30"/>
        </row>
        <row r="31">
          <cell r="B31" t="str">
            <v>USDCNH</v>
          </cell>
          <cell r="C31" t="str">
            <v>USD-CNH Cross Rate</v>
          </cell>
          <cell r="D31">
            <v>6.7058</v>
          </cell>
          <cell r="E31">
            <v>6.7141999999999999</v>
          </cell>
          <cell r="F31">
            <v>6.7058</v>
          </cell>
          <cell r="G31">
            <v>2.4569999999999999</v>
          </cell>
          <cell r="H31"/>
        </row>
        <row r="32">
          <cell r="B32" t="str">
            <v>USDEUR</v>
          </cell>
          <cell r="C32" t="str">
            <v>USD-EUR X-RATE</v>
          </cell>
          <cell r="D32">
            <v>0.88849999999999996</v>
          </cell>
          <cell r="E32">
            <v>0.88939999999999997</v>
          </cell>
          <cell r="F32">
            <v>0.88849999999999996</v>
          </cell>
          <cell r="G32">
            <v>5.76</v>
          </cell>
          <cell r="H32"/>
        </row>
        <row r="33">
          <cell r="B33" t="str">
            <v>USDGBP</v>
          </cell>
          <cell r="C33" t="str">
            <v>USD-GBP X-RATE</v>
          </cell>
          <cell r="D33">
            <v>0.75519999999999998</v>
          </cell>
          <cell r="E33">
            <v>0.75770000000000004</v>
          </cell>
          <cell r="F33">
            <v>0.75519999999999998</v>
          </cell>
          <cell r="G33">
            <v>6.4050000000000002</v>
          </cell>
          <cell r="H33"/>
        </row>
        <row r="34">
          <cell r="B34" t="str">
            <v>HKDAUD</v>
          </cell>
          <cell r="C34" t="str">
            <v>HKD-AUD X-RATE</v>
          </cell>
          <cell r="D34">
            <v>0.1832</v>
          </cell>
          <cell r="E34">
            <v>0.18390000000000001</v>
          </cell>
          <cell r="F34">
            <v>0.1832</v>
          </cell>
          <cell r="G34">
            <v>8.52</v>
          </cell>
          <cell r="H34"/>
        </row>
        <row r="35">
          <cell r="B35" t="str">
            <v>JPYAUD</v>
          </cell>
          <cell r="C35" t="str">
            <v>JPY-AUD X-RATE (x100)</v>
          </cell>
          <cell r="D35">
            <v>0.91080000000000005</v>
          </cell>
          <cell r="E35">
            <v>0.91290000000000004</v>
          </cell>
          <cell r="F35">
            <v>0.91080000000000005</v>
          </cell>
          <cell r="G35">
            <v>8.4450000000000003</v>
          </cell>
          <cell r="H35"/>
        </row>
        <row r="36">
          <cell r="B36" t="str">
            <v>HKDCAD</v>
          </cell>
          <cell r="C36" t="str">
            <v>HKD-CAD X-RATE</v>
          </cell>
          <cell r="D36">
            <v>0.18160000000000001</v>
          </cell>
          <cell r="E36">
            <v>0.18129999999999999</v>
          </cell>
          <cell r="F36">
            <v>0.18160000000000001</v>
          </cell>
          <cell r="G36">
            <v>4.4720000000000004</v>
          </cell>
          <cell r="H36"/>
        </row>
        <row r="37">
          <cell r="B37" t="str">
            <v>JPYCAD</v>
          </cell>
          <cell r="C37" t="str">
            <v>JPY-CAD X-RATE</v>
          </cell>
          <cell r="D37">
            <v>8.9999999999999993E-3</v>
          </cell>
          <cell r="E37">
            <v>8.9999999999999993E-3</v>
          </cell>
          <cell r="F37">
            <v>8.9999999999999993E-3</v>
          </cell>
          <cell r="G37">
            <v>7.3849999999999998</v>
          </cell>
          <cell r="H37"/>
        </row>
        <row r="38">
          <cell r="B38" t="str">
            <v>HKDCNH</v>
          </cell>
          <cell r="C38" t="str">
            <v>HKD-CNH Cross Rate</v>
          </cell>
          <cell r="D38">
            <v>0.85450000000000004</v>
          </cell>
          <cell r="E38">
            <v>0.85589999999999999</v>
          </cell>
          <cell r="F38">
            <v>0.85450000000000004</v>
          </cell>
          <cell r="G38">
            <v>2.5859999999999999</v>
          </cell>
          <cell r="H38"/>
        </row>
        <row r="39">
          <cell r="B39" t="str">
            <v>JPYCNH</v>
          </cell>
          <cell r="C39" t="str">
            <v>JPY-CNH Cross Rate(x100)</v>
          </cell>
          <cell r="D39">
            <v>4.2485999999999997</v>
          </cell>
          <cell r="E39">
            <v>4.2484999999999999</v>
          </cell>
          <cell r="F39">
            <v>4.2485999999999997</v>
          </cell>
          <cell r="G39">
            <v>7.67</v>
          </cell>
          <cell r="H39"/>
        </row>
        <row r="40">
          <cell r="B40" t="str">
            <v>HKDEUR</v>
          </cell>
          <cell r="C40" t="str">
            <v>HKD-EUR X-RATE</v>
          </cell>
          <cell r="D40">
            <v>0.1133</v>
          </cell>
          <cell r="E40">
            <v>0.1134</v>
          </cell>
          <cell r="F40">
            <v>0.1133</v>
          </cell>
          <cell r="G40">
            <v>5.7469999999999999</v>
          </cell>
          <cell r="H40"/>
        </row>
        <row r="41">
          <cell r="B41" t="str">
            <v>JPYEUR</v>
          </cell>
          <cell r="C41" t="str">
            <v>JPY-EUR X-RATE(x100)</v>
          </cell>
          <cell r="D41">
            <v>0.56289999999999996</v>
          </cell>
          <cell r="E41">
            <v>0.56259999999999999</v>
          </cell>
          <cell r="F41">
            <v>0.56289999999999996</v>
          </cell>
          <cell r="G41">
            <v>6.6989999999999998</v>
          </cell>
          <cell r="H41"/>
        </row>
        <row r="42">
          <cell r="B42" t="str">
            <v>HKDGBP</v>
          </cell>
          <cell r="C42" t="str">
            <v>HKD-GBP X-RATE</v>
          </cell>
          <cell r="D42">
            <v>9.6199999999999994E-2</v>
          </cell>
          <cell r="E42">
            <v>9.6500000000000002E-2</v>
          </cell>
          <cell r="F42">
            <v>9.6199999999999994E-2</v>
          </cell>
          <cell r="G42">
            <v>6.34</v>
          </cell>
          <cell r="H42"/>
        </row>
        <row r="43">
          <cell r="B43" t="str">
            <v>JPYGBP</v>
          </cell>
          <cell r="C43" t="str">
            <v>JPY-GBP X-RATE (x100)</v>
          </cell>
          <cell r="D43">
            <v>0.47839999999999999</v>
          </cell>
          <cell r="E43">
            <v>0.4793</v>
          </cell>
          <cell r="F43">
            <v>0.47839999999999999</v>
          </cell>
          <cell r="G43">
            <v>7.09</v>
          </cell>
          <cell r="H43"/>
        </row>
        <row r="44">
          <cell r="B44" t="str">
            <v>USDZAR</v>
          </cell>
          <cell r="C44" t="str">
            <v>USD-ZAR X-RATE</v>
          </cell>
          <cell r="D44">
            <v>16.655799999999999</v>
          </cell>
          <cell r="E44">
            <v>16.693899999999999</v>
          </cell>
          <cell r="F44">
            <v>16.655799999999999</v>
          </cell>
          <cell r="G44">
            <v>12.837</v>
          </cell>
          <cell r="H44"/>
        </row>
        <row r="45">
          <cell r="B45" t="str">
            <v>HKDZAR</v>
          </cell>
          <cell r="C45" t="str">
            <v>HKD-ZAR X-RATE</v>
          </cell>
          <cell r="D45">
            <v>2.1225999999999998</v>
          </cell>
          <cell r="E45">
            <v>2.1278999999999999</v>
          </cell>
          <cell r="F45">
            <v>2.1225999999999998</v>
          </cell>
          <cell r="G45">
            <v>12.875999999999999</v>
          </cell>
          <cell r="H45"/>
        </row>
        <row r="46">
          <cell r="B46" t="str">
            <v>JPYZAR</v>
          </cell>
          <cell r="C46" t="str">
            <v>JPY-ZAR X-RATE</v>
          </cell>
          <cell r="D46">
            <v>0.1055</v>
          </cell>
          <cell r="E46">
            <v>0.1056</v>
          </cell>
          <cell r="F46">
            <v>0.1055</v>
          </cell>
          <cell r="G46">
            <v>11.500999999999999</v>
          </cell>
          <cell r="H46"/>
        </row>
        <row r="47">
          <cell r="B47" t="str">
            <v>3800 HK</v>
          </cell>
          <cell r="C47" t="str">
            <v>GCL TECHNOLOGY HOLDINGS LTD</v>
          </cell>
          <cell r="D47">
            <v>0.71499999999999997</v>
          </cell>
          <cell r="E47">
            <v>0.73</v>
          </cell>
          <cell r="F47">
            <v>0.745</v>
          </cell>
          <cell r="G47">
            <v>52.899500000000003</v>
          </cell>
          <cell r="H47">
            <v>22993.03</v>
          </cell>
        </row>
        <row r="48">
          <cell r="B48" t="str">
            <v>6752 JT</v>
          </cell>
          <cell r="C48" t="str">
            <v>PANASONIC HOLDINGS CORP</v>
          </cell>
          <cell r="D48">
            <v>4568</v>
          </cell>
          <cell r="E48">
            <v>4482</v>
          </cell>
          <cell r="F48">
            <v>4550</v>
          </cell>
          <cell r="G48">
            <v>53.022100000000002</v>
          </cell>
          <cell r="H48">
            <v>11213241.800000001</v>
          </cell>
        </row>
        <row r="49">
          <cell r="B49" t="str">
            <v>700 HK</v>
          </cell>
          <cell r="C49" t="str">
            <v>TENCENT HOLDINGS LTD</v>
          </cell>
          <cell r="D49">
            <v>421.2</v>
          </cell>
          <cell r="E49">
            <v>422</v>
          </cell>
          <cell r="F49">
            <v>431</v>
          </cell>
          <cell r="G49">
            <v>35.365099999999998</v>
          </cell>
          <cell r="H49">
            <v>3830878.45</v>
          </cell>
        </row>
        <row r="50">
          <cell r="B50" t="str">
            <v>7011 JT</v>
          </cell>
          <cell r="C50" t="str">
            <v>MITSUBISHI HEAVY INDUSTRIES</v>
          </cell>
          <cell r="D50">
            <v>3813</v>
          </cell>
          <cell r="E50">
            <v>3838</v>
          </cell>
          <cell r="F50">
            <v>3842</v>
          </cell>
          <cell r="G50">
            <v>42.491199999999999</v>
          </cell>
          <cell r="H50">
            <v>12863719.1</v>
          </cell>
        </row>
        <row r="51">
          <cell r="B51" t="str">
            <v>9984 JT</v>
          </cell>
          <cell r="C51" t="str">
            <v>SOFTBANK GROUP CORP</v>
          </cell>
          <cell r="D51">
            <v>6310</v>
          </cell>
          <cell r="E51">
            <v>6649</v>
          </cell>
          <cell r="F51">
            <v>6701</v>
          </cell>
          <cell r="G51">
            <v>87.854100000000003</v>
          </cell>
          <cell r="H51">
            <v>36041761.640000001</v>
          </cell>
        </row>
        <row r="52">
          <cell r="B52" t="str">
            <v>9988 HK</v>
          </cell>
          <cell r="C52" t="str">
            <v>ALIBABA GROUP HOLDING LTD</v>
          </cell>
          <cell r="D52">
            <v>104.4</v>
          </cell>
          <cell r="E52">
            <v>104.1</v>
          </cell>
          <cell r="F52">
            <v>106.6</v>
          </cell>
          <cell r="G52">
            <v>45.266800000000003</v>
          </cell>
          <cell r="H52">
            <v>2075992.84</v>
          </cell>
        </row>
        <row r="53">
          <cell r="B53" t="str">
            <v>8058 JT</v>
          </cell>
          <cell r="C53" t="str">
            <v>MITSUBISHI CORP</v>
          </cell>
          <cell r="D53">
            <v>4694</v>
          </cell>
          <cell r="E53">
            <v>4640</v>
          </cell>
          <cell r="F53">
            <v>4722</v>
          </cell>
          <cell r="G53">
            <v>36.392600000000002</v>
          </cell>
          <cell r="H53">
            <v>17417221.91</v>
          </cell>
        </row>
        <row r="54">
          <cell r="B54" t="str">
            <v>8002 JT</v>
          </cell>
          <cell r="C54" t="str">
            <v>MARUBENI CORP</v>
          </cell>
          <cell r="D54">
            <v>4725</v>
          </cell>
          <cell r="E54">
            <v>4752</v>
          </cell>
          <cell r="F54">
            <v>4832</v>
          </cell>
          <cell r="G54">
            <v>38.419600000000003</v>
          </cell>
          <cell r="H54">
            <v>7847083.2599999998</v>
          </cell>
        </row>
        <row r="55">
          <cell r="B55" t="str">
            <v>8031 JT</v>
          </cell>
          <cell r="C55" t="str">
            <v>MITSUI &amp; CO LTD</v>
          </cell>
          <cell r="D55">
            <v>4902</v>
          </cell>
          <cell r="E55">
            <v>4862</v>
          </cell>
          <cell r="F55">
            <v>4916</v>
          </cell>
          <cell r="G55">
            <v>36.18</v>
          </cell>
          <cell r="H55">
            <v>14042595.560000001</v>
          </cell>
        </row>
        <row r="56">
          <cell r="B56" t="str">
            <v>AA UN</v>
          </cell>
          <cell r="C56" t="str">
            <v>ALCOA CORP</v>
          </cell>
          <cell r="D56">
            <v>41.95</v>
          </cell>
          <cell r="E56">
            <v>42.15</v>
          </cell>
          <cell r="F56">
            <v>42.06</v>
          </cell>
          <cell r="G56">
            <v>55.5154</v>
          </cell>
          <cell r="H56">
            <v>11071</v>
          </cell>
        </row>
        <row r="57">
          <cell r="B57" t="str">
            <v>AAL UN</v>
          </cell>
          <cell r="C57" t="str">
            <v>AMERICAN AIRLINES GROUP INC</v>
          </cell>
          <cell r="D57">
            <v>12.935</v>
          </cell>
          <cell r="E57">
            <v>13.385</v>
          </cell>
          <cell r="F57">
            <v>13.14</v>
          </cell>
          <cell r="G57">
            <v>48.574599999999997</v>
          </cell>
          <cell r="H57">
            <v>8562.58</v>
          </cell>
        </row>
        <row r="58">
          <cell r="B58" t="str">
            <v>AAL UW</v>
          </cell>
          <cell r="C58" t="str">
            <v>AMERICAN AIRLINES GROUP INC</v>
          </cell>
          <cell r="D58">
            <v>12.94</v>
          </cell>
          <cell r="E58">
            <v>13.36</v>
          </cell>
          <cell r="F58">
            <v>13.13</v>
          </cell>
          <cell r="G58">
            <v>48.533299999999997</v>
          </cell>
          <cell r="H58">
            <v>8565.89</v>
          </cell>
        </row>
        <row r="59">
          <cell r="B59" t="str">
            <v>AAPL UW</v>
          </cell>
          <cell r="C59" t="str">
            <v>APPLE INC</v>
          </cell>
          <cell r="D59">
            <v>333.69</v>
          </cell>
          <cell r="E59">
            <v>333.21</v>
          </cell>
          <cell r="F59">
            <v>330.32</v>
          </cell>
          <cell r="G59">
            <v>26.5733</v>
          </cell>
          <cell r="H59">
            <v>4869931.92</v>
          </cell>
        </row>
        <row r="60">
          <cell r="B60" t="str">
            <v>ABBV UN</v>
          </cell>
          <cell r="C60" t="str">
            <v>ABBVIE INC</v>
          </cell>
          <cell r="D60">
            <v>262.82</v>
          </cell>
          <cell r="E60">
            <v>259.74</v>
          </cell>
          <cell r="F60">
            <v>259.93</v>
          </cell>
          <cell r="G60">
            <v>26.276</v>
          </cell>
          <cell r="H60">
            <v>464433.76</v>
          </cell>
        </row>
        <row r="61">
          <cell r="B61" t="str">
            <v>ADBE UW</v>
          </cell>
          <cell r="C61" t="str">
            <v>ADOBE INC</v>
          </cell>
          <cell r="D61">
            <v>237.69</v>
          </cell>
          <cell r="E61">
            <v>243.61</v>
          </cell>
          <cell r="F61">
            <v>241.28</v>
          </cell>
          <cell r="G61">
            <v>44.209899999999998</v>
          </cell>
          <cell r="H61">
            <v>92508.95</v>
          </cell>
        </row>
        <row r="62">
          <cell r="B62" t="str">
            <v>AGEN UR</v>
          </cell>
          <cell r="C62" t="str">
            <v>AGENUS INC</v>
          </cell>
          <cell r="D62">
            <v>8.36</v>
          </cell>
          <cell r="E62">
            <v>8.36</v>
          </cell>
          <cell r="F62">
            <v>8.33</v>
          </cell>
          <cell r="G62">
            <v>116.2961</v>
          </cell>
          <cell r="H62">
            <v>377.55</v>
          </cell>
        </row>
        <row r="63">
          <cell r="B63" t="str">
            <v>ALB UN</v>
          </cell>
          <cell r="C63" t="str">
            <v>ALBEMARLE CORP</v>
          </cell>
          <cell r="D63">
            <v>104.59</v>
          </cell>
          <cell r="E63">
            <v>105.64</v>
          </cell>
          <cell r="F63">
            <v>105.03</v>
          </cell>
          <cell r="G63">
            <v>55.797899999999998</v>
          </cell>
          <cell r="H63">
            <v>12342.15</v>
          </cell>
        </row>
        <row r="64">
          <cell r="B64" t="str">
            <v>AMAT UW</v>
          </cell>
          <cell r="C64" t="str">
            <v>APPLIED MATERIALS INC</v>
          </cell>
          <cell r="D64">
            <v>540.04</v>
          </cell>
          <cell r="E64">
            <v>544.44000000000005</v>
          </cell>
          <cell r="F64">
            <v>529.29999999999995</v>
          </cell>
          <cell r="G64">
            <v>64.058400000000006</v>
          </cell>
          <cell r="H64">
            <v>428574.36</v>
          </cell>
        </row>
        <row r="65">
          <cell r="B65" t="str">
            <v>AMD UW</v>
          </cell>
          <cell r="C65" t="str">
            <v>ADVANCED MICRO DEVICES</v>
          </cell>
          <cell r="D65">
            <v>633.91</v>
          </cell>
          <cell r="E65">
            <v>636.37</v>
          </cell>
          <cell r="F65">
            <v>615.73</v>
          </cell>
          <cell r="G65">
            <v>71.109200000000001</v>
          </cell>
          <cell r="H65">
            <v>1034842.25</v>
          </cell>
        </row>
        <row r="66">
          <cell r="B66" t="str">
            <v>AMGN UW</v>
          </cell>
          <cell r="C66" t="str">
            <v>AMGEN INC</v>
          </cell>
          <cell r="D66">
            <v>403.04</v>
          </cell>
          <cell r="E66">
            <v>409.1</v>
          </cell>
          <cell r="F66">
            <v>407.27</v>
          </cell>
          <cell r="G66">
            <v>29.946200000000001</v>
          </cell>
          <cell r="H66">
            <v>217896.32000000001</v>
          </cell>
        </row>
        <row r="67">
          <cell r="B67" t="str">
            <v>AMZN UW</v>
          </cell>
          <cell r="C67" t="str">
            <v>AMAZON.COM INC</v>
          </cell>
          <cell r="D67">
            <v>251.52</v>
          </cell>
          <cell r="E67">
            <v>251.61</v>
          </cell>
          <cell r="F67">
            <v>248.23</v>
          </cell>
          <cell r="G67">
            <v>34.128999999999998</v>
          </cell>
          <cell r="H67">
            <v>2712973.59</v>
          </cell>
        </row>
        <row r="68">
          <cell r="B68" t="str">
            <v>ARKK UP</v>
          </cell>
          <cell r="C68" t="str">
            <v>ARK INNOVATION ETF</v>
          </cell>
          <cell r="D68">
            <v>89.5</v>
          </cell>
          <cell r="E68">
            <v>90.1</v>
          </cell>
          <cell r="F68">
            <v>88.54</v>
          </cell>
          <cell r="G68">
            <v>37.204099999999997</v>
          </cell>
          <cell r="H68">
            <v>9205.08</v>
          </cell>
        </row>
        <row r="69">
          <cell r="B69" t="str">
            <v>ASML UW</v>
          </cell>
          <cell r="C69" t="str">
            <v>ASML HOLDING NV-NY REG SHS</v>
          </cell>
          <cell r="D69">
            <v>1867.31</v>
          </cell>
          <cell r="E69">
            <v>1849.68</v>
          </cell>
          <cell r="F69">
            <v>1808.49</v>
          </cell>
          <cell r="G69">
            <v>49.641300000000001</v>
          </cell>
          <cell r="H69">
            <v>724792.03</v>
          </cell>
        </row>
        <row r="70">
          <cell r="B70" t="str">
            <v>AVGO UW</v>
          </cell>
          <cell r="C70" t="str">
            <v>BROADCOM INC</v>
          </cell>
          <cell r="D70">
            <v>355.14</v>
          </cell>
          <cell r="E70">
            <v>350.34</v>
          </cell>
          <cell r="F70">
            <v>343.64</v>
          </cell>
          <cell r="G70">
            <v>45.164499999999997</v>
          </cell>
          <cell r="H70">
            <v>1695306.91</v>
          </cell>
        </row>
        <row r="71">
          <cell r="B71" t="str">
            <v>BA UN</v>
          </cell>
          <cell r="C71" t="str">
            <v>BOEING CO/THE</v>
          </cell>
          <cell r="D71">
            <v>193.56</v>
          </cell>
          <cell r="E71">
            <v>194.45</v>
          </cell>
          <cell r="F71">
            <v>192.28</v>
          </cell>
          <cell r="G71">
            <v>34.367699999999999</v>
          </cell>
          <cell r="H71">
            <v>152984.01999999999</v>
          </cell>
        </row>
        <row r="72">
          <cell r="B72" t="str">
            <v>BABA UN</v>
          </cell>
          <cell r="C72" t="str">
            <v>ALIBABA GROUP HOLDING-SP ADR</v>
          </cell>
          <cell r="D72">
            <v>105.85</v>
          </cell>
          <cell r="E72">
            <v>106.06</v>
          </cell>
          <cell r="F72">
            <v>107.45</v>
          </cell>
          <cell r="G72">
            <v>42.242600000000003</v>
          </cell>
          <cell r="H72">
            <v>263103.26</v>
          </cell>
        </row>
        <row r="73">
          <cell r="B73" t="str">
            <v>BAC UN</v>
          </cell>
          <cell r="C73" t="str">
            <v>BANK OF AMERICA CORP</v>
          </cell>
          <cell r="D73">
            <v>53.75</v>
          </cell>
          <cell r="E73">
            <v>53.7</v>
          </cell>
          <cell r="F73">
            <v>53.73</v>
          </cell>
          <cell r="G73">
            <v>23.0031</v>
          </cell>
          <cell r="H73">
            <v>375860.22</v>
          </cell>
        </row>
        <row r="74">
          <cell r="B74" t="str">
            <v>BIDU UW</v>
          </cell>
          <cell r="C74" t="str">
            <v>BAIDU INC - SPON ADR</v>
          </cell>
          <cell r="D74">
            <v>84.32</v>
          </cell>
          <cell r="E74">
            <v>85.04</v>
          </cell>
          <cell r="F74">
            <v>85.59</v>
          </cell>
          <cell r="G74">
            <v>48.719000000000001</v>
          </cell>
          <cell r="H74">
            <v>28811.74</v>
          </cell>
        </row>
        <row r="75">
          <cell r="B75" t="str">
            <v>BIIB UW</v>
          </cell>
          <cell r="C75" t="str">
            <v>BIOGEN INC</v>
          </cell>
          <cell r="D75">
            <v>219.88</v>
          </cell>
          <cell r="E75">
            <v>222.98</v>
          </cell>
          <cell r="F75">
            <v>222.82</v>
          </cell>
          <cell r="G75">
            <v>35.663400000000003</v>
          </cell>
          <cell r="H75">
            <v>32488.15</v>
          </cell>
        </row>
        <row r="76">
          <cell r="B76" t="str">
            <v>BMY UN</v>
          </cell>
          <cell r="C76" t="str">
            <v>BRISTOL-MYERS SQUIBB CO</v>
          </cell>
          <cell r="D76">
            <v>61.15</v>
          </cell>
          <cell r="E76">
            <v>60.6</v>
          </cell>
          <cell r="F76">
            <v>61.46</v>
          </cell>
          <cell r="G76">
            <v>26.330500000000001</v>
          </cell>
          <cell r="H76">
            <v>124912</v>
          </cell>
        </row>
        <row r="77">
          <cell r="B77" t="str">
            <v>BNTX UW</v>
          </cell>
          <cell r="C77" t="str">
            <v>BIONTECH SE-ADR</v>
          </cell>
          <cell r="D77">
            <v>96.9</v>
          </cell>
          <cell r="E77">
            <v>97.35</v>
          </cell>
          <cell r="F77">
            <v>96.85</v>
          </cell>
          <cell r="G77">
            <v>49.395499999999998</v>
          </cell>
          <cell r="H77">
            <v>24341.7</v>
          </cell>
        </row>
        <row r="78">
          <cell r="B78" t="str">
            <v>BRK/B UN</v>
          </cell>
          <cell r="C78" t="str">
            <v>BERKSHIRE HATHAWAY INC-CL B</v>
          </cell>
          <cell r="D78">
            <v>502.65</v>
          </cell>
          <cell r="E78">
            <v>500.5</v>
          </cell>
          <cell r="F78">
            <v>500.5</v>
          </cell>
          <cell r="G78">
            <v>15.0266</v>
          </cell>
          <cell r="H78">
            <v>1076426.05</v>
          </cell>
        </row>
        <row r="79">
          <cell r="B79" t="str">
            <v>BRK/B UN</v>
          </cell>
          <cell r="C79" t="str">
            <v>BERKSHIRE HATHAWAY INC-CL B</v>
          </cell>
          <cell r="D79">
            <v>502.65</v>
          </cell>
          <cell r="E79">
            <v>500.5</v>
          </cell>
          <cell r="F79">
            <v>500.5</v>
          </cell>
          <cell r="G79">
            <v>15.0266</v>
          </cell>
          <cell r="H79">
            <v>1076426.05</v>
          </cell>
        </row>
        <row r="80">
          <cell r="B80" t="str">
            <v>C UN</v>
          </cell>
          <cell r="C80" t="str">
            <v>CITIGROUP INC</v>
          </cell>
          <cell r="D80">
            <v>128.5</v>
          </cell>
          <cell r="E80">
            <v>128</v>
          </cell>
          <cell r="F80">
            <v>127</v>
          </cell>
          <cell r="G80">
            <v>31.1858</v>
          </cell>
          <cell r="H80">
            <v>215550.63</v>
          </cell>
        </row>
        <row r="81">
          <cell r="B81" t="str">
            <v>CCL UN</v>
          </cell>
          <cell r="C81" t="str">
            <v>CARNIVAL CORP LTD</v>
          </cell>
          <cell r="D81">
            <v>25.76</v>
          </cell>
          <cell r="E81">
            <v>25.68</v>
          </cell>
          <cell r="F81">
            <v>25.07</v>
          </cell>
          <cell r="G81">
            <v>51.272199999999998</v>
          </cell>
          <cell r="H81">
            <v>34637.160000000003</v>
          </cell>
        </row>
        <row r="82">
          <cell r="B82" t="str">
            <v>CHT UN</v>
          </cell>
          <cell r="C82" t="str">
            <v>CHUNGHWA TELECOM LT-SPON ADR</v>
          </cell>
          <cell r="D82">
            <v>46.16</v>
          </cell>
          <cell r="E82">
            <v>45.73</v>
          </cell>
          <cell r="F82">
            <v>45.55</v>
          </cell>
          <cell r="G82">
            <v>14.272500000000001</v>
          </cell>
          <cell r="H82">
            <v>35808.370000000003</v>
          </cell>
        </row>
        <row r="83">
          <cell r="B83" t="str">
            <v>CLF UN</v>
          </cell>
          <cell r="C83" t="str">
            <v>CLEVELAND-CLIFFS INC</v>
          </cell>
          <cell r="D83">
            <v>11.32</v>
          </cell>
          <cell r="E83">
            <v>11.66</v>
          </cell>
          <cell r="F83">
            <v>11.47</v>
          </cell>
          <cell r="G83">
            <v>65.784800000000004</v>
          </cell>
          <cell r="H83">
            <v>6458.51</v>
          </cell>
        </row>
        <row r="84">
          <cell r="B84" t="str">
            <v>COST UW</v>
          </cell>
          <cell r="C84" t="str">
            <v>COSTCO WHOLESALE CORP</v>
          </cell>
          <cell r="D84">
            <v>920.65</v>
          </cell>
          <cell r="E84">
            <v>921.18</v>
          </cell>
          <cell r="F84">
            <v>914.94</v>
          </cell>
          <cell r="G84">
            <v>20.556000000000001</v>
          </cell>
          <cell r="H84">
            <v>408066.14</v>
          </cell>
        </row>
        <row r="85">
          <cell r="B85" t="str">
            <v>DAL UN</v>
          </cell>
          <cell r="C85" t="str">
            <v>DELTA AIR LINES INC</v>
          </cell>
          <cell r="D85">
            <v>84.09</v>
          </cell>
          <cell r="E85">
            <v>85.63</v>
          </cell>
          <cell r="F85">
            <v>84.13</v>
          </cell>
          <cell r="G85">
            <v>39.051600000000001</v>
          </cell>
          <cell r="H85">
            <v>55299.63</v>
          </cell>
        </row>
        <row r="86">
          <cell r="B86" t="str">
            <v>DDOG UW</v>
          </cell>
          <cell r="C86" t="str">
            <v>DATADOG INC - CLASS A</v>
          </cell>
          <cell r="D86">
            <v>277.22000000000003</v>
          </cell>
          <cell r="E86">
            <v>280.31</v>
          </cell>
          <cell r="F86">
            <v>276.45999999999998</v>
          </cell>
          <cell r="G86">
            <v>70.210700000000003</v>
          </cell>
          <cell r="H86">
            <v>99818.880000000005</v>
          </cell>
        </row>
        <row r="87">
          <cell r="B87" t="str">
            <v>DIS UN</v>
          </cell>
          <cell r="C87" t="str">
            <v>WALT DISNEY CO/THE</v>
          </cell>
          <cell r="D87">
            <v>102.19</v>
          </cell>
          <cell r="E87">
            <v>101.37</v>
          </cell>
          <cell r="F87">
            <v>101.33</v>
          </cell>
          <cell r="G87">
            <v>27.6509</v>
          </cell>
          <cell r="H87">
            <v>176450.13</v>
          </cell>
        </row>
        <row r="88">
          <cell r="B88" t="str">
            <v>EBAY UW</v>
          </cell>
          <cell r="C88" t="str">
            <v>EBAY INC</v>
          </cell>
          <cell r="D88">
            <v>106.4</v>
          </cell>
          <cell r="E88">
            <v>106.82</v>
          </cell>
          <cell r="F88">
            <v>105.89</v>
          </cell>
          <cell r="G88">
            <v>33.829599999999999</v>
          </cell>
          <cell r="H88">
            <v>47348</v>
          </cell>
        </row>
        <row r="89">
          <cell r="B89" t="str">
            <v>ENPH UQ</v>
          </cell>
          <cell r="C89" t="str">
            <v>ENPHASE ENERGY INC</v>
          </cell>
          <cell r="D89">
            <v>33.47</v>
          </cell>
          <cell r="E89">
            <v>33.6</v>
          </cell>
          <cell r="F89">
            <v>32.82</v>
          </cell>
          <cell r="G89">
            <v>84.793400000000005</v>
          </cell>
          <cell r="H89">
            <v>4422.88</v>
          </cell>
        </row>
        <row r="90">
          <cell r="B90" t="str">
            <v>EXPE UW</v>
          </cell>
          <cell r="C90" t="str">
            <v>EXPEDIA GROUP INC</v>
          </cell>
          <cell r="D90">
            <v>265</v>
          </cell>
          <cell r="E90">
            <v>265.44</v>
          </cell>
          <cell r="F90">
            <v>262.67</v>
          </cell>
          <cell r="G90">
            <v>50.430300000000003</v>
          </cell>
          <cell r="H90">
            <v>31805.13</v>
          </cell>
        </row>
        <row r="91">
          <cell r="B91" t="str">
            <v>F UN</v>
          </cell>
          <cell r="C91" t="str">
            <v>FORD MOTOR CO</v>
          </cell>
          <cell r="D91">
            <v>12.1</v>
          </cell>
          <cell r="E91">
            <v>12.27</v>
          </cell>
          <cell r="F91">
            <v>12.27</v>
          </cell>
          <cell r="G91">
            <v>38.788600000000002</v>
          </cell>
          <cell r="H91">
            <v>48249.91</v>
          </cell>
        </row>
        <row r="92">
          <cell r="B92" t="str">
            <v>FCX UN</v>
          </cell>
          <cell r="C92" t="str">
            <v>FREEPORT-MCMORAN INC</v>
          </cell>
          <cell r="D92">
            <v>72.040000000000006</v>
          </cell>
          <cell r="E92">
            <v>69.95</v>
          </cell>
          <cell r="F92">
            <v>69.28</v>
          </cell>
          <cell r="G92">
            <v>51.391500000000001</v>
          </cell>
          <cell r="H92">
            <v>103450.7</v>
          </cell>
        </row>
        <row r="93">
          <cell r="B93" t="str">
            <v>GDX UP</v>
          </cell>
          <cell r="C93" t="str">
            <v>VANECK GOLD MINERS ETF</v>
          </cell>
          <cell r="D93">
            <v>87.78</v>
          </cell>
          <cell r="E93">
            <v>88.15</v>
          </cell>
          <cell r="F93">
            <v>86.74</v>
          </cell>
          <cell r="G93">
            <v>53.653399999999998</v>
          </cell>
          <cell r="H93">
            <v>26255.22</v>
          </cell>
        </row>
        <row r="94">
          <cell r="B94" t="str">
            <v>GILD UW</v>
          </cell>
          <cell r="C94" t="str">
            <v>GILEAD SCIENCES INC</v>
          </cell>
          <cell r="D94">
            <v>144.74</v>
          </cell>
          <cell r="E94">
            <v>147.69999999999999</v>
          </cell>
          <cell r="F94">
            <v>147.5</v>
          </cell>
          <cell r="G94">
            <v>27.4405</v>
          </cell>
          <cell r="H94">
            <v>179470.39</v>
          </cell>
        </row>
        <row r="95">
          <cell r="B95" t="str">
            <v>GOOG UW</v>
          </cell>
          <cell r="C95" t="str">
            <v>ALPHABET INC-CL C</v>
          </cell>
          <cell r="D95">
            <v>340.35</v>
          </cell>
          <cell r="E95">
            <v>338.2</v>
          </cell>
          <cell r="F95">
            <v>334.93</v>
          </cell>
          <cell r="G95">
            <v>31.6462</v>
          </cell>
          <cell r="H95">
            <v>4182279.83</v>
          </cell>
        </row>
        <row r="96">
          <cell r="B96" t="str">
            <v>GOOGL UW</v>
          </cell>
          <cell r="C96" t="str">
            <v>ALPHABET INC-CL A</v>
          </cell>
          <cell r="D96">
            <v>343.5</v>
          </cell>
          <cell r="E96">
            <v>342.29</v>
          </cell>
          <cell r="F96">
            <v>338.24</v>
          </cell>
          <cell r="G96">
            <v>32.1282</v>
          </cell>
          <cell r="H96">
            <v>4182279.83</v>
          </cell>
        </row>
        <row r="97">
          <cell r="B97" t="str">
            <v>HPQ UN</v>
          </cell>
          <cell r="C97" t="str">
            <v>HP INC</v>
          </cell>
          <cell r="D97">
            <v>32.119999999999997</v>
          </cell>
          <cell r="E97">
            <v>32.119999999999997</v>
          </cell>
          <cell r="F97">
            <v>32.15</v>
          </cell>
          <cell r="G97">
            <v>47.255000000000003</v>
          </cell>
          <cell r="H97">
            <v>28965.53</v>
          </cell>
        </row>
        <row r="98">
          <cell r="B98" t="str">
            <v>HSBC UN</v>
          </cell>
          <cell r="C98" t="str">
            <v>HSBC HOLDINGS PLC-SPONS ADR</v>
          </cell>
          <cell r="D98">
            <v>96.14</v>
          </cell>
          <cell r="E98">
            <v>95.14</v>
          </cell>
          <cell r="F98">
            <v>95.82</v>
          </cell>
          <cell r="G98">
            <v>29.188099999999999</v>
          </cell>
          <cell r="H98">
            <v>329605.27</v>
          </cell>
        </row>
        <row r="99">
          <cell r="B99" t="str">
            <v>INCY UW</v>
          </cell>
          <cell r="C99" t="str">
            <v>INCYTE CORP</v>
          </cell>
          <cell r="D99">
            <v>115.3</v>
          </cell>
          <cell r="E99">
            <v>116.76</v>
          </cell>
          <cell r="F99">
            <v>117.14</v>
          </cell>
          <cell r="G99">
            <v>33.759700000000002</v>
          </cell>
          <cell r="H99">
            <v>23371.05</v>
          </cell>
        </row>
        <row r="100">
          <cell r="B100" t="str">
            <v>INTC UW</v>
          </cell>
          <cell r="C100" t="str">
            <v>INTEL CORP</v>
          </cell>
          <cell r="D100">
            <v>119.33</v>
          </cell>
          <cell r="E100">
            <v>124.11</v>
          </cell>
          <cell r="F100">
            <v>120</v>
          </cell>
          <cell r="G100">
            <v>81.972999999999999</v>
          </cell>
          <cell r="H100">
            <v>630667.34</v>
          </cell>
        </row>
        <row r="101">
          <cell r="B101" t="str">
            <v>ISRG UW</v>
          </cell>
          <cell r="C101" t="str">
            <v>INTUITIVE SURGICAL INC</v>
          </cell>
          <cell r="D101">
            <v>391.95</v>
          </cell>
          <cell r="E101">
            <v>406.47</v>
          </cell>
          <cell r="F101">
            <v>401.24</v>
          </cell>
          <cell r="G101">
            <v>36.8673</v>
          </cell>
          <cell r="H101">
            <v>138467.32999999999</v>
          </cell>
        </row>
        <row r="102">
          <cell r="B102" t="str">
            <v>JPM UN</v>
          </cell>
          <cell r="C102" t="str">
            <v>JPMORGAN CHASE &amp; CO</v>
          </cell>
          <cell r="D102">
            <v>332.38</v>
          </cell>
          <cell r="E102">
            <v>333.69</v>
          </cell>
          <cell r="F102">
            <v>333.18</v>
          </cell>
          <cell r="G102">
            <v>22.558199999999999</v>
          </cell>
          <cell r="H102">
            <v>883527.93</v>
          </cell>
        </row>
        <row r="103">
          <cell r="B103" t="str">
            <v>KO UN</v>
          </cell>
          <cell r="C103" t="str">
            <v>COCA-COLA CO/THE</v>
          </cell>
          <cell r="D103">
            <v>85.65</v>
          </cell>
          <cell r="E103">
            <v>86.3</v>
          </cell>
          <cell r="F103">
            <v>86.1</v>
          </cell>
          <cell r="G103">
            <v>19.358799999999999</v>
          </cell>
          <cell r="H103">
            <v>368513.34</v>
          </cell>
        </row>
        <row r="104">
          <cell r="B104" t="str">
            <v>LUV UN</v>
          </cell>
          <cell r="C104" t="str">
            <v>SOUTHWEST AIRLINES CO</v>
          </cell>
          <cell r="D104">
            <v>42.47</v>
          </cell>
          <cell r="E104">
            <v>42.49</v>
          </cell>
          <cell r="F104">
            <v>41.84</v>
          </cell>
          <cell r="G104">
            <v>45.291600000000003</v>
          </cell>
          <cell r="H104">
            <v>20776.669999999998</v>
          </cell>
        </row>
        <row r="105">
          <cell r="B105" t="str">
            <v>MA UN</v>
          </cell>
          <cell r="C105" t="str">
            <v>MASTERCARD INC - A</v>
          </cell>
          <cell r="D105">
            <v>552.26</v>
          </cell>
          <cell r="E105">
            <v>551.32000000000005</v>
          </cell>
          <cell r="F105">
            <v>550</v>
          </cell>
          <cell r="G105">
            <v>23.346299999999999</v>
          </cell>
          <cell r="H105">
            <v>483891.20000000001</v>
          </cell>
        </row>
        <row r="106">
          <cell r="B106" t="str">
            <v>MAR UW</v>
          </cell>
          <cell r="C106" t="str">
            <v>MARRIOTT INTERNATIONAL -CL A</v>
          </cell>
          <cell r="D106">
            <v>358.96</v>
          </cell>
          <cell r="E106">
            <v>359.32</v>
          </cell>
          <cell r="F106">
            <v>354.79</v>
          </cell>
          <cell r="G106">
            <v>27.459299999999999</v>
          </cell>
          <cell r="H106">
            <v>93604.67</v>
          </cell>
        </row>
        <row r="107">
          <cell r="B107" t="str">
            <v>META UW</v>
          </cell>
          <cell r="C107" t="str">
            <v>META PLATFORMS INC-CLASS A</v>
          </cell>
          <cell r="D107">
            <v>728.08</v>
          </cell>
          <cell r="E107">
            <v>734</v>
          </cell>
          <cell r="F107">
            <v>725.93</v>
          </cell>
          <cell r="G107">
            <v>43.686300000000003</v>
          </cell>
          <cell r="H107">
            <v>1854788.33</v>
          </cell>
        </row>
        <row r="108">
          <cell r="B108" t="str">
            <v>MMM UN</v>
          </cell>
          <cell r="C108" t="str">
            <v>3M CO</v>
          </cell>
          <cell r="D108">
            <v>161.88999999999999</v>
          </cell>
          <cell r="E108">
            <v>164.33</v>
          </cell>
          <cell r="F108">
            <v>163.02000000000001</v>
          </cell>
          <cell r="G108">
            <v>26.613900000000001</v>
          </cell>
          <cell r="H108">
            <v>83490.3</v>
          </cell>
        </row>
        <row r="109">
          <cell r="B109" t="str">
            <v>MO UN</v>
          </cell>
          <cell r="C109" t="str">
            <v>ALTRIA GROUP INC</v>
          </cell>
          <cell r="D109">
            <v>67.349999999999994</v>
          </cell>
          <cell r="E109">
            <v>66.680000000000007</v>
          </cell>
          <cell r="F109">
            <v>66.95</v>
          </cell>
          <cell r="G109">
            <v>27.506699999999999</v>
          </cell>
          <cell r="H109">
            <v>112457.25</v>
          </cell>
        </row>
        <row r="110">
          <cell r="B110" t="str">
            <v>MRK UN</v>
          </cell>
          <cell r="C110" t="str">
            <v>MERCK &amp; CO. INC.</v>
          </cell>
          <cell r="D110">
            <v>144.30000000000001</v>
          </cell>
          <cell r="E110">
            <v>143.6</v>
          </cell>
          <cell r="F110">
            <v>143.81</v>
          </cell>
          <cell r="G110">
            <v>29.3993</v>
          </cell>
          <cell r="H110">
            <v>356012.87</v>
          </cell>
        </row>
        <row r="111">
          <cell r="B111" t="str">
            <v>MRNA UW</v>
          </cell>
          <cell r="C111" t="str">
            <v>MODERNA INC</v>
          </cell>
          <cell r="D111">
            <v>190.01</v>
          </cell>
          <cell r="E111">
            <v>189.7</v>
          </cell>
          <cell r="F111">
            <v>188.94</v>
          </cell>
          <cell r="G111">
            <v>141.45189999999999</v>
          </cell>
          <cell r="H111">
            <v>75858.81</v>
          </cell>
        </row>
        <row r="112">
          <cell r="B112" t="str">
            <v>MSFT UW</v>
          </cell>
          <cell r="C112" t="str">
            <v>MICROSOFT CORP</v>
          </cell>
          <cell r="D112">
            <v>517.53</v>
          </cell>
          <cell r="E112">
            <v>519.77</v>
          </cell>
          <cell r="F112">
            <v>512.79999999999995</v>
          </cell>
          <cell r="G112">
            <v>35.436399999999999</v>
          </cell>
          <cell r="H112">
            <v>3842942.56</v>
          </cell>
        </row>
        <row r="113">
          <cell r="B113" t="str">
            <v>MT UN</v>
          </cell>
          <cell r="C113" t="str">
            <v>ARCELORMITTAL-NY REGISTERED</v>
          </cell>
          <cell r="D113">
            <v>64.510000000000005</v>
          </cell>
          <cell r="E113">
            <v>63.82</v>
          </cell>
          <cell r="F113">
            <v>64.56</v>
          </cell>
          <cell r="G113">
            <v>46.544600000000003</v>
          </cell>
          <cell r="H113">
            <v>49995.25</v>
          </cell>
        </row>
        <row r="114">
          <cell r="B114" t="str">
            <v>MU UW</v>
          </cell>
          <cell r="C114" t="str">
            <v>MICRON TECHNOLOGY INC</v>
          </cell>
          <cell r="D114">
            <v>1074.8900000000001</v>
          </cell>
          <cell r="E114">
            <v>1105.2</v>
          </cell>
          <cell r="F114">
            <v>1097.3900000000001</v>
          </cell>
          <cell r="G114">
            <v>85.163300000000007</v>
          </cell>
          <cell r="H114">
            <v>1213973.3999999999</v>
          </cell>
        </row>
        <row r="115">
          <cell r="B115" t="str">
            <v>NFLX UW</v>
          </cell>
          <cell r="C115" t="str">
            <v>NETFLIX INC</v>
          </cell>
          <cell r="D115">
            <v>67.06</v>
          </cell>
          <cell r="E115">
            <v>67.7</v>
          </cell>
          <cell r="F115">
            <v>67.849999999999994</v>
          </cell>
          <cell r="G115">
            <v>36.621400000000001</v>
          </cell>
          <cell r="H115">
            <v>279233.78999999998</v>
          </cell>
        </row>
        <row r="116">
          <cell r="B116" t="str">
            <v>NKE UN</v>
          </cell>
          <cell r="C116" t="str">
            <v>NIKE INC -CL B</v>
          </cell>
          <cell r="D116">
            <v>33.869999999999997</v>
          </cell>
          <cell r="E116">
            <v>32.4</v>
          </cell>
          <cell r="F116">
            <v>35.15</v>
          </cell>
          <cell r="G116">
            <v>38.5961</v>
          </cell>
          <cell r="H116">
            <v>50307.41</v>
          </cell>
        </row>
        <row r="117">
          <cell r="B117" t="str">
            <v>NVCR UW</v>
          </cell>
          <cell r="C117" t="str">
            <v>NOVOCURE LTD</v>
          </cell>
          <cell r="D117">
            <v>14.94</v>
          </cell>
          <cell r="E117">
            <v>16.239999999999998</v>
          </cell>
          <cell r="F117">
            <v>15.92</v>
          </cell>
          <cell r="G117">
            <v>83.7209</v>
          </cell>
          <cell r="H117">
            <v>1739.7</v>
          </cell>
        </row>
        <row r="118">
          <cell r="B118" t="str">
            <v>NVDA UW</v>
          </cell>
          <cell r="C118" t="str">
            <v>NVIDIA CORP</v>
          </cell>
          <cell r="D118">
            <v>233.95</v>
          </cell>
          <cell r="E118">
            <v>236</v>
          </cell>
          <cell r="F118">
            <v>230.86</v>
          </cell>
          <cell r="G118">
            <v>38.303600000000003</v>
          </cell>
          <cell r="H118">
            <v>5638195</v>
          </cell>
        </row>
        <row r="119">
          <cell r="B119" t="str">
            <v>NVO UN</v>
          </cell>
          <cell r="C119" t="str">
            <v>NOVO-NORDISK A/S-SPONS ADR</v>
          </cell>
          <cell r="D119">
            <v>37.32</v>
          </cell>
          <cell r="E119">
            <v>37.65</v>
          </cell>
          <cell r="F119">
            <v>37.4</v>
          </cell>
          <cell r="G119">
            <v>49.547400000000003</v>
          </cell>
          <cell r="H119">
            <v>166633.79999999999</v>
          </cell>
        </row>
        <row r="120">
          <cell r="B120" t="str">
            <v>ON UW</v>
          </cell>
          <cell r="C120" t="str">
            <v>ON SEMICONDUCTOR</v>
          </cell>
          <cell r="D120">
            <v>84.89</v>
          </cell>
          <cell r="E120">
            <v>84.21</v>
          </cell>
          <cell r="F120">
            <v>80.08</v>
          </cell>
          <cell r="G120">
            <v>68.450299999999999</v>
          </cell>
          <cell r="H120">
            <v>33048.67</v>
          </cell>
        </row>
        <row r="121">
          <cell r="B121" t="str">
            <v>PFE UN</v>
          </cell>
          <cell r="C121" t="str">
            <v>PFIZER INC</v>
          </cell>
          <cell r="D121">
            <v>27.8</v>
          </cell>
          <cell r="E121">
            <v>28.1</v>
          </cell>
          <cell r="F121">
            <v>28.12</v>
          </cell>
          <cell r="G121">
            <v>21.0397</v>
          </cell>
          <cell r="H121">
            <v>158450.93</v>
          </cell>
        </row>
        <row r="122">
          <cell r="B122" t="str">
            <v>PLTR UN</v>
          </cell>
          <cell r="C122" t="str">
            <v>PALANTIR TECHNOLOGIES INC-A</v>
          </cell>
          <cell r="D122">
            <v>188.79</v>
          </cell>
          <cell r="E122">
            <v>192.86</v>
          </cell>
          <cell r="F122">
            <v>190.04</v>
          </cell>
          <cell r="G122">
            <v>61.616199999999999</v>
          </cell>
          <cell r="H122">
            <v>453673.41</v>
          </cell>
        </row>
        <row r="123">
          <cell r="B123" t="str">
            <v>PYPL UW</v>
          </cell>
          <cell r="C123" t="str">
            <v>PAYPAL HOLDINGS INC</v>
          </cell>
          <cell r="D123">
            <v>52.8</v>
          </cell>
          <cell r="E123">
            <v>53.22</v>
          </cell>
          <cell r="F123">
            <v>53.06</v>
          </cell>
          <cell r="G123">
            <v>47.333799999999997</v>
          </cell>
          <cell r="H123">
            <v>45168.33</v>
          </cell>
        </row>
        <row r="124">
          <cell r="B124" t="str">
            <v>QCOM UW</v>
          </cell>
          <cell r="C124" t="str">
            <v>QUALCOMM INC</v>
          </cell>
          <cell r="D124">
            <v>184.87</v>
          </cell>
          <cell r="E124">
            <v>186.55</v>
          </cell>
          <cell r="F124">
            <v>182.09</v>
          </cell>
          <cell r="G124">
            <v>57.884900000000002</v>
          </cell>
          <cell r="H124">
            <v>194113.5</v>
          </cell>
        </row>
        <row r="125">
          <cell r="B125" t="str">
            <v>QQQ UQ</v>
          </cell>
          <cell r="C125" t="str">
            <v>INVESCO QQQ TRUST SERIES 1</v>
          </cell>
          <cell r="D125">
            <v>749.58</v>
          </cell>
          <cell r="E125">
            <v>751.38</v>
          </cell>
          <cell r="F125">
            <v>742.03</v>
          </cell>
          <cell r="G125">
            <v>20.5976</v>
          </cell>
          <cell r="H125">
            <v>504167.53</v>
          </cell>
        </row>
        <row r="126">
          <cell r="B126" t="str">
            <v>QS UN</v>
          </cell>
          <cell r="C126" t="str">
            <v>QUANTUMSCAPE CORP</v>
          </cell>
          <cell r="D126">
            <v>4.5650000000000004</v>
          </cell>
          <cell r="E126">
            <v>4.74</v>
          </cell>
          <cell r="F126">
            <v>4.59</v>
          </cell>
          <cell r="G126">
            <v>68.653800000000004</v>
          </cell>
          <cell r="H126">
            <v>2849.41</v>
          </cell>
        </row>
        <row r="127">
          <cell r="B127" t="str">
            <v>SBUX UW</v>
          </cell>
          <cell r="C127" t="str">
            <v>STARBUCKS CORP</v>
          </cell>
          <cell r="D127">
            <v>94.71</v>
          </cell>
          <cell r="E127">
            <v>95.08</v>
          </cell>
          <cell r="F127">
            <v>94.88</v>
          </cell>
          <cell r="G127">
            <v>27.515799999999999</v>
          </cell>
          <cell r="H127">
            <v>107969.4</v>
          </cell>
        </row>
        <row r="128">
          <cell r="B128" t="str">
            <v>SE UN</v>
          </cell>
          <cell r="C128" t="str">
            <v>SEA LTD-ADR</v>
          </cell>
          <cell r="D128">
            <v>95.19</v>
          </cell>
          <cell r="E128">
            <v>96</v>
          </cell>
          <cell r="F128">
            <v>95.27</v>
          </cell>
          <cell r="G128">
            <v>52.683799999999998</v>
          </cell>
          <cell r="H128">
            <v>58302.400000000001</v>
          </cell>
        </row>
        <row r="129">
          <cell r="B129" t="str">
            <v>SNOW UN</v>
          </cell>
          <cell r="C129" t="str">
            <v>SNOWFLAKE INC</v>
          </cell>
          <cell r="D129">
            <v>341.04</v>
          </cell>
          <cell r="E129">
            <v>344</v>
          </cell>
          <cell r="F129">
            <v>341.99</v>
          </cell>
          <cell r="G129">
            <v>66.738900000000001</v>
          </cell>
          <cell r="H129">
            <v>120318.91</v>
          </cell>
        </row>
        <row r="130">
          <cell r="B130" t="str">
            <v>SPWR UQ</v>
          </cell>
          <cell r="C130" t="str">
            <v>SUNPOWER INC</v>
          </cell>
          <cell r="D130">
            <v>0.3</v>
          </cell>
          <cell r="E130">
            <v>0.312</v>
          </cell>
          <cell r="F130">
            <v>0.30690000000000001</v>
          </cell>
          <cell r="G130">
            <v>114.1108</v>
          </cell>
          <cell r="H130">
            <v>96.09</v>
          </cell>
        </row>
        <row r="131">
          <cell r="B131" t="str">
            <v>SPY UP</v>
          </cell>
          <cell r="C131" t="str">
            <v>SS SPDR S&amp;P 500 ETF TRUST-US</v>
          </cell>
          <cell r="D131">
            <v>769.64</v>
          </cell>
          <cell r="E131">
            <v>770.57</v>
          </cell>
          <cell r="F131">
            <v>763.99</v>
          </cell>
          <cell r="G131">
            <v>13.179399999999999</v>
          </cell>
          <cell r="H131">
            <v>813264.81</v>
          </cell>
        </row>
        <row r="132">
          <cell r="B132" t="str">
            <v>SQM UN</v>
          </cell>
          <cell r="C132" t="str">
            <v>QUIMICA Y MINERA CHIL-SP ADR</v>
          </cell>
          <cell r="D132">
            <v>64.52</v>
          </cell>
          <cell r="E132">
            <v>64.459999999999994</v>
          </cell>
          <cell r="F132">
            <v>64.12</v>
          </cell>
          <cell r="G132">
            <v>48.141100000000002</v>
          </cell>
          <cell r="H132">
            <v>17784.38</v>
          </cell>
        </row>
        <row r="133">
          <cell r="B133" t="str">
            <v>STM UN</v>
          </cell>
          <cell r="C133" t="str">
            <v>STMICROELECTRONICS NV-NY SHS</v>
          </cell>
          <cell r="D133">
            <v>57.26</v>
          </cell>
          <cell r="E133">
            <v>55.29</v>
          </cell>
          <cell r="F133">
            <v>53.5</v>
          </cell>
          <cell r="G133">
            <v>64.111599999999996</v>
          </cell>
          <cell r="H133">
            <v>52180</v>
          </cell>
        </row>
        <row r="134">
          <cell r="B134" t="str">
            <v>STX UW</v>
          </cell>
          <cell r="C134" t="str">
            <v>SEAGATE TECHNOLOGY HOLDINGS</v>
          </cell>
          <cell r="D134">
            <v>848.99</v>
          </cell>
          <cell r="E134">
            <v>815</v>
          </cell>
          <cell r="F134">
            <v>945.57</v>
          </cell>
          <cell r="G134">
            <v>76.622</v>
          </cell>
          <cell r="H134">
            <v>192418.93</v>
          </cell>
        </row>
        <row r="135">
          <cell r="B135" t="str">
            <v>SYK UN</v>
          </cell>
          <cell r="C135" t="str">
            <v>STRYKER CORP</v>
          </cell>
          <cell r="D135">
            <v>275.43</v>
          </cell>
          <cell r="E135">
            <v>273.72000000000003</v>
          </cell>
          <cell r="F135">
            <v>272.95999999999998</v>
          </cell>
          <cell r="G135">
            <v>32.232599999999998</v>
          </cell>
          <cell r="H135">
            <v>105647.52</v>
          </cell>
        </row>
        <row r="136">
          <cell r="B136" t="str">
            <v>T UN</v>
          </cell>
          <cell r="C136" t="str">
            <v>AT&amp;T INC</v>
          </cell>
          <cell r="D136">
            <v>24.3</v>
          </cell>
          <cell r="E136">
            <v>24.32</v>
          </cell>
          <cell r="F136">
            <v>24.3</v>
          </cell>
          <cell r="G136">
            <v>26.7972</v>
          </cell>
          <cell r="H136">
            <v>166512.97</v>
          </cell>
        </row>
        <row r="137">
          <cell r="B137" t="str">
            <v>TSLA UW</v>
          </cell>
          <cell r="C137" t="str">
            <v>TESLA INC</v>
          </cell>
          <cell r="D137">
            <v>370.59</v>
          </cell>
          <cell r="E137">
            <v>360.29</v>
          </cell>
          <cell r="F137">
            <v>354.11</v>
          </cell>
          <cell r="G137">
            <v>46.555500000000002</v>
          </cell>
          <cell r="H137">
            <v>1463662.77</v>
          </cell>
        </row>
        <row r="138">
          <cell r="B138" t="str">
            <v>TSM UN</v>
          </cell>
          <cell r="C138" t="str">
            <v>TAIWAN SEMICONDUCTOR-SP ADR</v>
          </cell>
          <cell r="D138">
            <v>472.78</v>
          </cell>
          <cell r="E138">
            <v>466.05</v>
          </cell>
          <cell r="F138">
            <v>459.2</v>
          </cell>
          <cell r="G138">
            <v>41.573700000000002</v>
          </cell>
          <cell r="H138">
            <v>2452061.1800000002</v>
          </cell>
        </row>
        <row r="139">
          <cell r="B139" t="str">
            <v>U UN</v>
          </cell>
          <cell r="C139" t="str">
            <v>UNITY SOFTWARE INC</v>
          </cell>
          <cell r="D139">
            <v>43.61</v>
          </cell>
          <cell r="E139">
            <v>44.75</v>
          </cell>
          <cell r="F139">
            <v>43.61</v>
          </cell>
          <cell r="G139">
            <v>76.645600000000002</v>
          </cell>
          <cell r="H139">
            <v>19192.28</v>
          </cell>
        </row>
        <row r="140">
          <cell r="B140" t="str">
            <v>UAL UW</v>
          </cell>
          <cell r="C140" t="str">
            <v>UNITED AIRLINES HOLDINGS INC</v>
          </cell>
          <cell r="D140">
            <v>112.51</v>
          </cell>
          <cell r="E140">
            <v>114.37</v>
          </cell>
          <cell r="F140">
            <v>111.78</v>
          </cell>
          <cell r="G140">
            <v>49.439399999999999</v>
          </cell>
          <cell r="H140">
            <v>36526.300000000003</v>
          </cell>
        </row>
        <row r="141">
          <cell r="B141" t="str">
            <v>UBER UN</v>
          </cell>
          <cell r="C141" t="str">
            <v>UBER TECHNOLOGIES INC</v>
          </cell>
          <cell r="D141">
            <v>68.11</v>
          </cell>
          <cell r="E141">
            <v>68.150000000000006</v>
          </cell>
          <cell r="F141">
            <v>67.88</v>
          </cell>
          <cell r="G141">
            <v>35.697400000000002</v>
          </cell>
          <cell r="H141">
            <v>139118.76999999999</v>
          </cell>
        </row>
        <row r="142">
          <cell r="B142" t="str">
            <v>UMC UN</v>
          </cell>
          <cell r="C142" t="str">
            <v>UNITED MICROELECTRON-SP ADR</v>
          </cell>
          <cell r="D142">
            <v>26.27</v>
          </cell>
          <cell r="E142">
            <v>25.67</v>
          </cell>
          <cell r="F142">
            <v>25.21</v>
          </cell>
          <cell r="G142">
            <v>69.262500000000003</v>
          </cell>
          <cell r="H142">
            <v>66043.27</v>
          </cell>
        </row>
        <row r="143">
          <cell r="B143" t="str">
            <v>UNCY UR</v>
          </cell>
          <cell r="C143" t="str">
            <v>UNICYCIVE THERAPEUTICS INC</v>
          </cell>
          <cell r="D143">
            <v>4.22</v>
          </cell>
          <cell r="E143">
            <v>4.62</v>
          </cell>
          <cell r="F143">
            <v>4.55</v>
          </cell>
          <cell r="G143">
            <v>89.400099999999995</v>
          </cell>
          <cell r="H143">
            <v>117.55</v>
          </cell>
        </row>
        <row r="144">
          <cell r="B144" t="str">
            <v>UPST UW</v>
          </cell>
          <cell r="C144" t="str">
            <v>UPSTART HOLDINGS INC</v>
          </cell>
          <cell r="D144">
            <v>22.81</v>
          </cell>
          <cell r="E144">
            <v>23.5</v>
          </cell>
          <cell r="F144">
            <v>22.95</v>
          </cell>
          <cell r="G144">
            <v>64.839299999999994</v>
          </cell>
          <cell r="H144">
            <v>2219.71</v>
          </cell>
        </row>
        <row r="145">
          <cell r="B145" t="str">
            <v>V UN</v>
          </cell>
          <cell r="C145" t="str">
            <v>VISA INC-CLASS A SHARES</v>
          </cell>
          <cell r="D145">
            <v>360.66</v>
          </cell>
          <cell r="E145">
            <v>360.21</v>
          </cell>
          <cell r="F145">
            <v>359.85</v>
          </cell>
          <cell r="G145">
            <v>22.580200000000001</v>
          </cell>
          <cell r="H145">
            <v>673392.92</v>
          </cell>
        </row>
        <row r="146">
          <cell r="B146" t="str">
            <v>VOO UP</v>
          </cell>
          <cell r="C146" t="str">
            <v>VANGUARD S&amp;P 500 ETF</v>
          </cell>
          <cell r="D146">
            <v>707.54</v>
          </cell>
          <cell r="E146">
            <v>708.47</v>
          </cell>
          <cell r="F146">
            <v>702.35</v>
          </cell>
          <cell r="G146">
            <v>13.2159</v>
          </cell>
          <cell r="H146">
            <v>1046727.94</v>
          </cell>
        </row>
        <row r="147">
          <cell r="B147" t="str">
            <v>VTI UP</v>
          </cell>
          <cell r="C147" t="str">
            <v>VG MORNINGSTAR TS MKT ETF-US</v>
          </cell>
          <cell r="D147">
            <v>377.99</v>
          </cell>
          <cell r="E147">
            <v>378.48</v>
          </cell>
          <cell r="F147">
            <v>375.18</v>
          </cell>
          <cell r="G147">
            <v>13.414300000000001</v>
          </cell>
          <cell r="H147">
            <v>696208.13</v>
          </cell>
        </row>
        <row r="148">
          <cell r="B148" t="str">
            <v>VZ UN</v>
          </cell>
          <cell r="C148" t="str">
            <v>VERIZON COMMUNICATIONS INC</v>
          </cell>
          <cell r="D148">
            <v>45.92</v>
          </cell>
          <cell r="E148">
            <v>46.05</v>
          </cell>
          <cell r="F148">
            <v>45.98</v>
          </cell>
          <cell r="G148">
            <v>26.494399999999999</v>
          </cell>
          <cell r="H148">
            <v>190787.28</v>
          </cell>
        </row>
        <row r="149">
          <cell r="B149" t="str">
            <v>WFC UN</v>
          </cell>
          <cell r="C149" t="str">
            <v>WELLS FARGO &amp; CO</v>
          </cell>
          <cell r="D149">
            <v>80.45</v>
          </cell>
          <cell r="E149">
            <v>80.09</v>
          </cell>
          <cell r="F149">
            <v>80.25</v>
          </cell>
          <cell r="G149">
            <v>27.256</v>
          </cell>
          <cell r="H149">
            <v>243280.75</v>
          </cell>
        </row>
        <row r="150">
          <cell r="B150" t="str">
            <v>WMT UN</v>
          </cell>
          <cell r="C150" t="str">
            <v>WALMART INC</v>
          </cell>
          <cell r="D150">
            <v>104.27500000000001</v>
          </cell>
          <cell r="E150">
            <v>104.91</v>
          </cell>
          <cell r="F150">
            <v>104.28</v>
          </cell>
          <cell r="G150">
            <v>27.4771</v>
          </cell>
          <cell r="H150">
            <v>827291.39</v>
          </cell>
        </row>
        <row r="151">
          <cell r="B151" t="str">
            <v>XBTUSD</v>
          </cell>
          <cell r="C151" t="str">
            <v>XBT-USD Cross Rate</v>
          </cell>
          <cell r="D151">
            <v>85820.39</v>
          </cell>
          <cell r="E151">
            <v>84741.48</v>
          </cell>
          <cell r="F151">
            <v>85820.38</v>
          </cell>
          <cell r="G151">
            <v>31.311</v>
          </cell>
          <cell r="H151"/>
        </row>
        <row r="152">
          <cell r="B152" t="str">
            <v>XLE UP</v>
          </cell>
          <cell r="C152" t="str">
            <v>SS ENERGY SELECT SECTOR</v>
          </cell>
          <cell r="D152">
            <v>62.82</v>
          </cell>
          <cell r="E152">
            <v>61.86</v>
          </cell>
          <cell r="F152">
            <v>62.7</v>
          </cell>
          <cell r="G152">
            <v>23.187200000000001</v>
          </cell>
          <cell r="H152">
            <v>40182.71</v>
          </cell>
        </row>
        <row r="153">
          <cell r="B153" t="str">
            <v>XLI UP</v>
          </cell>
          <cell r="C153" t="str">
            <v>SS INDUSTRIAL SELECT SECTOR</v>
          </cell>
          <cell r="D153">
            <v>169.95</v>
          </cell>
          <cell r="E153">
            <v>170.2</v>
          </cell>
          <cell r="F153">
            <v>168.64</v>
          </cell>
          <cell r="G153">
            <v>18.318200000000001</v>
          </cell>
          <cell r="H153">
            <v>30926.82</v>
          </cell>
        </row>
        <row r="154">
          <cell r="B154" t="str">
            <v>XLK UP</v>
          </cell>
          <cell r="C154" t="str">
            <v>SS TECHNOLOGY SELECT SECTOR</v>
          </cell>
          <cell r="D154">
            <v>199.81</v>
          </cell>
          <cell r="E154">
            <v>200.84</v>
          </cell>
          <cell r="F154">
            <v>197.81</v>
          </cell>
          <cell r="G154">
            <v>27.871200000000002</v>
          </cell>
          <cell r="H154">
            <v>130368.39</v>
          </cell>
        </row>
        <row r="155">
          <cell r="B155" t="str">
            <v>ZM UW</v>
          </cell>
          <cell r="C155" t="str">
            <v>ZOOM COMMUNICATIONS INC</v>
          </cell>
          <cell r="D155">
            <v>92.88</v>
          </cell>
          <cell r="E155">
            <v>94.69</v>
          </cell>
          <cell r="F155">
            <v>93.8</v>
          </cell>
          <cell r="G155">
            <v>47.095599999999997</v>
          </cell>
          <cell r="H155">
            <v>27114.48</v>
          </cell>
        </row>
        <row r="156">
          <cell r="B156" t="str">
            <v>ABNB UW</v>
          </cell>
          <cell r="C156" t="str">
            <v>AIRBNB INC-CLASS A</v>
          </cell>
          <cell r="D156">
            <v>162.43</v>
          </cell>
          <cell r="E156">
            <v>164.37</v>
          </cell>
          <cell r="F156">
            <v>160.47</v>
          </cell>
          <cell r="G156">
            <v>38.187899999999999</v>
          </cell>
          <cell r="H156">
            <v>97260.76</v>
          </cell>
        </row>
        <row r="157">
          <cell r="B157" t="str">
            <v>INTC UQ</v>
          </cell>
          <cell r="C157" t="str">
            <v>INTEL CORP</v>
          </cell>
          <cell r="D157">
            <v>119.33</v>
          </cell>
          <cell r="E157">
            <v>124.11</v>
          </cell>
          <cell r="F157">
            <v>120</v>
          </cell>
          <cell r="G157">
            <v>81.972999999999999</v>
          </cell>
          <cell r="H157">
            <v>630667.34</v>
          </cell>
        </row>
        <row r="158">
          <cell r="B158" t="str">
            <v>MDT UN</v>
          </cell>
          <cell r="C158" t="str">
            <v>MEDTRONIC PLC</v>
          </cell>
          <cell r="D158">
            <v>86.38</v>
          </cell>
          <cell r="E158">
            <v>86.55</v>
          </cell>
          <cell r="F158">
            <v>86.44</v>
          </cell>
          <cell r="G158">
            <v>24.872699999999998</v>
          </cell>
          <cell r="H158">
            <v>110491.93</v>
          </cell>
        </row>
        <row r="159">
          <cell r="B159" t="str">
            <v>ABT UN</v>
          </cell>
          <cell r="C159" t="str">
            <v>ABBOTT LABORATORIES</v>
          </cell>
          <cell r="D159">
            <v>97.5</v>
          </cell>
          <cell r="E159">
            <v>96.5</v>
          </cell>
          <cell r="F159">
            <v>96.69</v>
          </cell>
          <cell r="G159">
            <v>29.092099999999999</v>
          </cell>
          <cell r="H159">
            <v>168712.37</v>
          </cell>
        </row>
        <row r="160">
          <cell r="B160" t="str">
            <v>BG UN</v>
          </cell>
          <cell r="C160" t="str">
            <v>BUNGE GLOBAL SA</v>
          </cell>
          <cell r="D160">
            <v>106.72</v>
          </cell>
          <cell r="E160">
            <v>105.05</v>
          </cell>
          <cell r="F160">
            <v>106.61</v>
          </cell>
          <cell r="G160">
            <v>31.251100000000001</v>
          </cell>
          <cell r="H160">
            <v>20502.95</v>
          </cell>
        </row>
        <row r="161">
          <cell r="B161" t="str">
            <v>ADM UN</v>
          </cell>
          <cell r="C161" t="str">
            <v>ARCHER-DANIELS-MIDLAND CO</v>
          </cell>
          <cell r="D161">
            <v>80.45</v>
          </cell>
          <cell r="E161">
            <v>78.67</v>
          </cell>
          <cell r="F161">
            <v>79.52</v>
          </cell>
          <cell r="G161">
            <v>27.6755</v>
          </cell>
          <cell r="H161">
            <v>38773.65</v>
          </cell>
        </row>
        <row r="162">
          <cell r="B162" t="str">
            <v>ROKU UW</v>
          </cell>
          <cell r="C162" t="str">
            <v>ROKU INC</v>
          </cell>
          <cell r="D162">
            <v>152.38999999999999</v>
          </cell>
          <cell r="E162">
            <v>151.26</v>
          </cell>
          <cell r="F162">
            <v>151.26</v>
          </cell>
          <cell r="G162">
            <v>41.922800000000002</v>
          </cell>
          <cell r="H162">
            <v>22631.54</v>
          </cell>
        </row>
        <row r="163">
          <cell r="B163" t="str">
            <v>M UN</v>
          </cell>
          <cell r="C163" t="str">
            <v>MACY'S INC</v>
          </cell>
          <cell r="D163">
            <v>22.73</v>
          </cell>
          <cell r="E163">
            <v>22.82</v>
          </cell>
          <cell r="F163">
            <v>22.76</v>
          </cell>
          <cell r="G163">
            <v>41.500500000000002</v>
          </cell>
          <cell r="H163">
            <v>5936.55</v>
          </cell>
        </row>
        <row r="164">
          <cell r="B164" t="str">
            <v>SKX US</v>
          </cell>
          <cell r="C164" t="str">
            <v>SKECHERS USA INC-CL A</v>
          </cell>
          <cell r="D164"/>
          <cell r="E164"/>
          <cell r="F164"/>
          <cell r="G164"/>
          <cell r="H164"/>
        </row>
        <row r="165">
          <cell r="B165" t="str">
            <v>UNH UN</v>
          </cell>
          <cell r="C165" t="str">
            <v>UNITEDHEALTH GROUP INC</v>
          </cell>
          <cell r="D165">
            <v>371.9</v>
          </cell>
          <cell r="E165">
            <v>365.14</v>
          </cell>
          <cell r="F165">
            <v>365.2</v>
          </cell>
          <cell r="G165">
            <v>37.827300000000001</v>
          </cell>
          <cell r="H165">
            <v>333815.52</v>
          </cell>
        </row>
        <row r="166">
          <cell r="B166" t="str">
            <v>CSCO UW</v>
          </cell>
          <cell r="C166" t="str">
            <v>CISCO SYSTEMS INC</v>
          </cell>
          <cell r="D166">
            <v>112.2</v>
          </cell>
          <cell r="E166">
            <v>110</v>
          </cell>
          <cell r="F166">
            <v>108.76</v>
          </cell>
          <cell r="G166">
            <v>37.713999999999999</v>
          </cell>
          <cell r="H166">
            <v>442358.25</v>
          </cell>
        </row>
        <row r="167">
          <cell r="B167" t="str">
            <v>OXY UN</v>
          </cell>
          <cell r="C167" t="str">
            <v>OCCIDENTAL PETROLEUM CORP</v>
          </cell>
          <cell r="D167">
            <v>58.08</v>
          </cell>
          <cell r="E167">
            <v>56.89</v>
          </cell>
          <cell r="F167">
            <v>57.84</v>
          </cell>
          <cell r="G167">
            <v>37.848100000000002</v>
          </cell>
          <cell r="H167">
            <v>58058.94</v>
          </cell>
        </row>
        <row r="168">
          <cell r="B168" t="str">
            <v>XOM UN</v>
          </cell>
          <cell r="C168" t="str">
            <v>EXXONMOBIL HOLDINGS CORP</v>
          </cell>
          <cell r="D168">
            <v>164.01</v>
          </cell>
          <cell r="E168">
            <v>162.19</v>
          </cell>
          <cell r="F168">
            <v>163.82</v>
          </cell>
          <cell r="G168">
            <v>28.139199999999999</v>
          </cell>
          <cell r="H168">
            <v>679732.16</v>
          </cell>
        </row>
        <row r="169">
          <cell r="B169" t="str">
            <v>CVX UN</v>
          </cell>
          <cell r="C169" t="str">
            <v>CHEVRON CORP</v>
          </cell>
          <cell r="D169">
            <v>206.69</v>
          </cell>
          <cell r="E169">
            <v>204.93</v>
          </cell>
          <cell r="F169">
            <v>207.1</v>
          </cell>
          <cell r="G169">
            <v>25.539000000000001</v>
          </cell>
          <cell r="H169">
            <v>408372.16</v>
          </cell>
        </row>
        <row r="170">
          <cell r="B170" t="str">
            <v>CHPT UN</v>
          </cell>
          <cell r="C170" t="str">
            <v>CHARGEPOINT HOLDINGS INC</v>
          </cell>
          <cell r="D170">
            <v>9.2899999999999991</v>
          </cell>
          <cell r="E170">
            <v>10.45</v>
          </cell>
          <cell r="F170">
            <v>10.199999999999999</v>
          </cell>
          <cell r="G170">
            <v>98.276799999999994</v>
          </cell>
          <cell r="H170">
            <v>249.44</v>
          </cell>
        </row>
        <row r="171">
          <cell r="B171" t="str">
            <v>AAPL UQ</v>
          </cell>
          <cell r="C171" t="str">
            <v>APPLE INC</v>
          </cell>
          <cell r="D171">
            <v>333.69</v>
          </cell>
          <cell r="E171">
            <v>333.21</v>
          </cell>
          <cell r="F171">
            <v>330.32</v>
          </cell>
          <cell r="G171">
            <v>26.5733</v>
          </cell>
          <cell r="H171">
            <v>4869931.92</v>
          </cell>
        </row>
        <row r="172">
          <cell r="B172" t="str">
            <v>NVDA UQ</v>
          </cell>
          <cell r="C172" t="str">
            <v>NVIDIA CORP</v>
          </cell>
          <cell r="D172">
            <v>233.95</v>
          </cell>
          <cell r="E172">
            <v>236</v>
          </cell>
          <cell r="F172">
            <v>230.86</v>
          </cell>
          <cell r="G172">
            <v>38.303600000000003</v>
          </cell>
          <cell r="H172">
            <v>5638195</v>
          </cell>
        </row>
        <row r="173">
          <cell r="B173" t="str">
            <v>FSLY UN</v>
          </cell>
          <cell r="C173" t="str">
            <v>FASTLY INC - CLASS A</v>
          </cell>
          <cell r="D173">
            <v>25.8</v>
          </cell>
          <cell r="E173">
            <v>26.56</v>
          </cell>
          <cell r="F173">
            <v>26.36</v>
          </cell>
          <cell r="G173">
            <v>124.0684</v>
          </cell>
          <cell r="H173">
            <v>4109.9399999999996</v>
          </cell>
        </row>
        <row r="174">
          <cell r="B174" t="str">
            <v>TSLA UQ</v>
          </cell>
          <cell r="C174" t="str">
            <v>TESLA INC</v>
          </cell>
          <cell r="D174">
            <v>370.59</v>
          </cell>
          <cell r="E174">
            <v>360.29</v>
          </cell>
          <cell r="F174">
            <v>354.11</v>
          </cell>
          <cell r="G174">
            <v>46.555500000000002</v>
          </cell>
          <cell r="H174">
            <v>1463662.77</v>
          </cell>
        </row>
        <row r="175">
          <cell r="B175" t="str">
            <v>AMZN UQ</v>
          </cell>
          <cell r="C175" t="str">
            <v>AMAZON.COM INC</v>
          </cell>
          <cell r="D175">
            <v>251.52</v>
          </cell>
          <cell r="E175">
            <v>251.61</v>
          </cell>
          <cell r="F175">
            <v>248.23</v>
          </cell>
          <cell r="G175">
            <v>34.128999999999998</v>
          </cell>
          <cell r="H175">
            <v>2712973.59</v>
          </cell>
        </row>
        <row r="176">
          <cell r="B176" t="str">
            <v>GM UN</v>
          </cell>
          <cell r="C176" t="str">
            <v>GENERAL MOTORS CO</v>
          </cell>
          <cell r="D176">
            <v>78.27</v>
          </cell>
          <cell r="E176">
            <v>79.36</v>
          </cell>
          <cell r="F176">
            <v>79.31</v>
          </cell>
          <cell r="G176">
            <v>34.052</v>
          </cell>
          <cell r="H176">
            <v>68678.13</v>
          </cell>
        </row>
        <row r="177">
          <cell r="B177" t="str">
            <v>PLUG UR</v>
          </cell>
          <cell r="C177" t="str">
            <v>PLUG POWER INC</v>
          </cell>
          <cell r="D177">
            <v>1.9</v>
          </cell>
          <cell r="E177">
            <v>1.93</v>
          </cell>
          <cell r="F177">
            <v>1.89</v>
          </cell>
          <cell r="G177">
            <v>80.492199999999997</v>
          </cell>
          <cell r="H177">
            <v>2654.67</v>
          </cell>
        </row>
        <row r="178">
          <cell r="B178" t="str">
            <v>LMT UN</v>
          </cell>
          <cell r="C178" t="str">
            <v>LOCKHEED MARTIN CORP</v>
          </cell>
          <cell r="D178">
            <v>505.41</v>
          </cell>
          <cell r="E178">
            <v>505</v>
          </cell>
          <cell r="F178">
            <v>505.5</v>
          </cell>
          <cell r="G178">
            <v>30.303799999999999</v>
          </cell>
          <cell r="H178">
            <v>116643.95</v>
          </cell>
        </row>
        <row r="179">
          <cell r="B179" t="str">
            <v>RTX UN</v>
          </cell>
          <cell r="C179" t="str">
            <v>RTX CORP</v>
          </cell>
          <cell r="D179">
            <v>184.68</v>
          </cell>
          <cell r="E179">
            <v>184.6</v>
          </cell>
          <cell r="F179">
            <v>185.01</v>
          </cell>
          <cell r="G179">
            <v>26.131599999999999</v>
          </cell>
          <cell r="H179">
            <v>248903.97</v>
          </cell>
        </row>
        <row r="180">
          <cell r="B180" t="str">
            <v>MSFT UQ</v>
          </cell>
          <cell r="C180" t="str">
            <v>MICROSOFT CORP</v>
          </cell>
          <cell r="D180">
            <v>517.53</v>
          </cell>
          <cell r="E180">
            <v>519.77</v>
          </cell>
          <cell r="F180">
            <v>512.79999999999995</v>
          </cell>
          <cell r="G180">
            <v>35.436399999999999</v>
          </cell>
          <cell r="H180">
            <v>3842942.56</v>
          </cell>
        </row>
        <row r="181">
          <cell r="B181" t="str">
            <v>XPEV UN</v>
          </cell>
          <cell r="C181" t="str">
            <v>XPENG INC - ADR</v>
          </cell>
          <cell r="D181">
            <v>9.25</v>
          </cell>
          <cell r="E181">
            <v>9.35</v>
          </cell>
          <cell r="F181">
            <v>9.42</v>
          </cell>
          <cell r="G181">
            <v>48.309399999999997</v>
          </cell>
          <cell r="H181">
            <v>8873.89</v>
          </cell>
        </row>
        <row r="182">
          <cell r="B182" t="str">
            <v>NIO UN</v>
          </cell>
          <cell r="C182" t="str">
            <v>NIO INC - ADR</v>
          </cell>
          <cell r="D182">
            <v>3.37</v>
          </cell>
          <cell r="E182">
            <v>3.44</v>
          </cell>
          <cell r="F182">
            <v>3.4</v>
          </cell>
          <cell r="G182">
            <v>51.877200000000002</v>
          </cell>
          <cell r="H182">
            <v>8444.1</v>
          </cell>
        </row>
        <row r="183">
          <cell r="B183" t="str">
            <v>META UQ</v>
          </cell>
          <cell r="C183" t="str">
            <v>META PLATFORMS INC-CLASS A</v>
          </cell>
          <cell r="D183">
            <v>728.08</v>
          </cell>
          <cell r="E183">
            <v>734</v>
          </cell>
          <cell r="F183">
            <v>725.93</v>
          </cell>
          <cell r="G183">
            <v>43.686300000000003</v>
          </cell>
          <cell r="H183">
            <v>1854788.33</v>
          </cell>
        </row>
        <row r="184">
          <cell r="B184" t="str">
            <v>BIDU UQ</v>
          </cell>
          <cell r="C184" t="str">
            <v>BAIDU INC - SPON ADR</v>
          </cell>
          <cell r="D184">
            <v>84.32</v>
          </cell>
          <cell r="E184">
            <v>85.04</v>
          </cell>
          <cell r="F184">
            <v>85.59</v>
          </cell>
          <cell r="G184">
            <v>48.719000000000001</v>
          </cell>
          <cell r="H184">
            <v>28811.74</v>
          </cell>
        </row>
        <row r="185">
          <cell r="B185" t="str">
            <v>AMD UQ</v>
          </cell>
          <cell r="C185" t="str">
            <v>ADVANCED MICRO DEVICES</v>
          </cell>
          <cell r="D185">
            <v>633.91</v>
          </cell>
          <cell r="E185">
            <v>636.37</v>
          </cell>
          <cell r="F185">
            <v>615.73</v>
          </cell>
          <cell r="G185">
            <v>71.109200000000001</v>
          </cell>
          <cell r="H185">
            <v>1034842.25</v>
          </cell>
        </row>
        <row r="186">
          <cell r="B186" t="str">
            <v>2020 HK</v>
          </cell>
          <cell r="C186" t="str">
            <v>ANTA SPORTS PRODUCTS LTD</v>
          </cell>
          <cell r="D186">
            <v>74.150000000000006</v>
          </cell>
          <cell r="E186">
            <v>72.7</v>
          </cell>
          <cell r="F186">
            <v>73.75</v>
          </cell>
          <cell r="G186">
            <v>26.709499999999998</v>
          </cell>
          <cell r="H186">
            <v>207371.84</v>
          </cell>
        </row>
        <row r="187">
          <cell r="B187" t="str">
            <v>1810 HK</v>
          </cell>
          <cell r="C187" t="str">
            <v>XIAOMI CORP-CLASS B</v>
          </cell>
          <cell r="D187">
            <v>24.24</v>
          </cell>
          <cell r="E187">
            <v>24.62</v>
          </cell>
          <cell r="F187">
            <v>25.24</v>
          </cell>
          <cell r="G187">
            <v>42.4771</v>
          </cell>
          <cell r="H187">
            <v>625261.22</v>
          </cell>
        </row>
        <row r="188">
          <cell r="B188" t="str">
            <v>BYND UW</v>
          </cell>
          <cell r="C188" t="str">
            <v>BEYOND MEAT INC</v>
          </cell>
          <cell r="D188">
            <v>8.25</v>
          </cell>
          <cell r="E188">
            <v>8.26</v>
          </cell>
          <cell r="F188">
            <v>8.26</v>
          </cell>
          <cell r="G188">
            <v>101.8946</v>
          </cell>
          <cell r="H188">
            <v>141.85</v>
          </cell>
        </row>
        <row r="189">
          <cell r="B189" t="str">
            <v>MU UQ</v>
          </cell>
          <cell r="C189" t="str">
            <v>MICRON TECHNOLOGY INC</v>
          </cell>
          <cell r="D189">
            <v>1074.8900000000001</v>
          </cell>
          <cell r="E189">
            <v>1105.2</v>
          </cell>
          <cell r="F189">
            <v>1097.3900000000001</v>
          </cell>
          <cell r="G189">
            <v>85.163300000000007</v>
          </cell>
          <cell r="H189">
            <v>1213973.3999999999</v>
          </cell>
        </row>
        <row r="190">
          <cell r="B190" t="str">
            <v>AAL UQ</v>
          </cell>
          <cell r="C190" t="str">
            <v>AMERICAN AIRLINES GROUP INC</v>
          </cell>
          <cell r="D190">
            <v>12.94</v>
          </cell>
          <cell r="E190">
            <v>13.36</v>
          </cell>
          <cell r="F190">
            <v>13.13</v>
          </cell>
          <cell r="G190">
            <v>48.533299999999997</v>
          </cell>
          <cell r="H190">
            <v>8565.89</v>
          </cell>
        </row>
        <row r="191">
          <cell r="B191" t="str">
            <v>UA UN</v>
          </cell>
          <cell r="C191" t="str">
            <v>UNDER ARMOUR INC-CLASS C</v>
          </cell>
          <cell r="D191">
            <v>4.59</v>
          </cell>
          <cell r="E191">
            <v>4.58</v>
          </cell>
          <cell r="F191">
            <v>4.53</v>
          </cell>
          <cell r="G191">
            <v>57.702500000000001</v>
          </cell>
          <cell r="H191">
            <v>1993.04</v>
          </cell>
        </row>
        <row r="192">
          <cell r="B192" t="str">
            <v>CRWD UW</v>
          </cell>
          <cell r="C192" t="str">
            <v>CROWDSTRIKE HOLDINGS INC - A</v>
          </cell>
          <cell r="D192">
            <v>270.04000000000002</v>
          </cell>
          <cell r="E192">
            <v>269.41000000000003</v>
          </cell>
          <cell r="F192">
            <v>266.08999999999997</v>
          </cell>
          <cell r="G192">
            <v>58.953099999999999</v>
          </cell>
          <cell r="H192">
            <v>276503.36</v>
          </cell>
        </row>
        <row r="193">
          <cell r="B193" t="str">
            <v>QCOM UQ</v>
          </cell>
          <cell r="C193" t="str">
            <v>QUALCOMM INC</v>
          </cell>
          <cell r="D193">
            <v>184.87</v>
          </cell>
          <cell r="E193">
            <v>186.55</v>
          </cell>
          <cell r="F193">
            <v>182.09</v>
          </cell>
          <cell r="G193">
            <v>57.884900000000002</v>
          </cell>
          <cell r="H193">
            <v>194113.5</v>
          </cell>
        </row>
        <row r="194">
          <cell r="B194" t="str">
            <v>PYPL UQ</v>
          </cell>
          <cell r="C194" t="str">
            <v>PAYPAL HOLDINGS INC</v>
          </cell>
          <cell r="D194">
            <v>52.8</v>
          </cell>
          <cell r="E194">
            <v>53.22</v>
          </cell>
          <cell r="F194">
            <v>53.06</v>
          </cell>
          <cell r="G194">
            <v>47.333799999999997</v>
          </cell>
          <cell r="H194">
            <v>45168.33</v>
          </cell>
        </row>
        <row r="195">
          <cell r="B195" t="str">
            <v>NFLX UQ</v>
          </cell>
          <cell r="C195" t="str">
            <v>NETFLIX INC</v>
          </cell>
          <cell r="D195">
            <v>67.06</v>
          </cell>
          <cell r="E195">
            <v>67.7</v>
          </cell>
          <cell r="F195">
            <v>67.849999999999994</v>
          </cell>
          <cell r="G195">
            <v>36.621400000000001</v>
          </cell>
          <cell r="H195">
            <v>279233.78999999998</v>
          </cell>
        </row>
        <row r="196">
          <cell r="B196" t="str">
            <v>9983 JT</v>
          </cell>
          <cell r="C196" t="str">
            <v>FAST RETAILING CO LTD</v>
          </cell>
          <cell r="D196">
            <v>71770</v>
          </cell>
          <cell r="E196">
            <v>72180</v>
          </cell>
          <cell r="F196">
            <v>72750</v>
          </cell>
          <cell r="G196">
            <v>33.533200000000001</v>
          </cell>
          <cell r="H196">
            <v>22838718.870000001</v>
          </cell>
        </row>
        <row r="197">
          <cell r="B197" t="str">
            <v>6367 JT</v>
          </cell>
          <cell r="C197" t="str">
            <v>DAIKIN INDUSTRIES LTD</v>
          </cell>
          <cell r="D197">
            <v>20585</v>
          </cell>
          <cell r="E197">
            <v>20745</v>
          </cell>
          <cell r="F197">
            <v>20985</v>
          </cell>
          <cell r="G197">
            <v>35.310499999999998</v>
          </cell>
          <cell r="H197">
            <v>6033751.1299999999</v>
          </cell>
        </row>
        <row r="198">
          <cell r="B198" t="str">
            <v>8035 JT</v>
          </cell>
          <cell r="C198" t="str">
            <v>TOKYO ELECTRON LTD</v>
          </cell>
          <cell r="D198">
            <v>12100</v>
          </cell>
          <cell r="E198">
            <v>12435</v>
          </cell>
          <cell r="F198">
            <v>12580</v>
          </cell>
          <cell r="G198">
            <v>59.066400000000002</v>
          </cell>
          <cell r="H198">
            <v>28315980.350000001</v>
          </cell>
        </row>
        <row r="199">
          <cell r="B199" t="str">
            <v>SMCI UQ</v>
          </cell>
          <cell r="C199" t="str">
            <v>SUPER MICRO COMPUTER INC</v>
          </cell>
          <cell r="D199">
            <v>43.69</v>
          </cell>
          <cell r="E199">
            <v>42.74</v>
          </cell>
          <cell r="F199">
            <v>41.92</v>
          </cell>
          <cell r="G199">
            <v>102.90300000000001</v>
          </cell>
          <cell r="H199">
            <v>28702.82</v>
          </cell>
        </row>
        <row r="200">
          <cell r="B200" t="str">
            <v>8001 JT</v>
          </cell>
          <cell r="C200" t="str">
            <v>ITOCHU CORP</v>
          </cell>
          <cell r="D200">
            <v>2175.5</v>
          </cell>
          <cell r="E200">
            <v>2191</v>
          </cell>
          <cell r="F200">
            <v>2202.5</v>
          </cell>
          <cell r="G200">
            <v>28.1768</v>
          </cell>
          <cell r="H200">
            <v>17239635.579999998</v>
          </cell>
        </row>
        <row r="201">
          <cell r="B201" t="str">
            <v>8053 JT</v>
          </cell>
          <cell r="C201" t="str">
            <v>SUMITOMO CORP</v>
          </cell>
          <cell r="D201">
            <v>1728</v>
          </cell>
          <cell r="E201">
            <v>1733.5</v>
          </cell>
          <cell r="F201">
            <v>1751.5</v>
          </cell>
          <cell r="G201">
            <v>40.546700000000001</v>
          </cell>
          <cell r="H201">
            <v>8260884.0899999999</v>
          </cell>
        </row>
        <row r="202">
          <cell r="B202" t="str">
            <v>ASML UQ</v>
          </cell>
          <cell r="C202" t="str">
            <v>ASML HOLDING NV-NY REG SHS</v>
          </cell>
          <cell r="D202">
            <v>1867.31</v>
          </cell>
          <cell r="E202">
            <v>1849.68</v>
          </cell>
          <cell r="F202">
            <v>1808.49</v>
          </cell>
          <cell r="G202">
            <v>49.641300000000001</v>
          </cell>
          <cell r="H202">
            <v>724792.03</v>
          </cell>
        </row>
        <row r="203">
          <cell r="B203" t="str">
            <v>BTI UN</v>
          </cell>
          <cell r="C203" t="str">
            <v>BRITISH AMERICAN TOB-SP ADR</v>
          </cell>
          <cell r="D203">
            <v>52.64</v>
          </cell>
          <cell r="E203">
            <v>52.58</v>
          </cell>
          <cell r="F203">
            <v>53.19</v>
          </cell>
          <cell r="G203">
            <v>26.927399999999999</v>
          </cell>
          <cell r="H203">
            <v>113584.57</v>
          </cell>
        </row>
        <row r="204">
          <cell r="B204" t="str">
            <v>UAL UQ</v>
          </cell>
          <cell r="C204" t="str">
            <v>UNITED AIRLINES HOLDINGS INC</v>
          </cell>
          <cell r="D204">
            <v>112.51</v>
          </cell>
          <cell r="E204">
            <v>114.37</v>
          </cell>
          <cell r="F204">
            <v>111.78</v>
          </cell>
          <cell r="G204">
            <v>49.439399999999999</v>
          </cell>
          <cell r="H204">
            <v>36526.300000000003</v>
          </cell>
        </row>
        <row r="205">
          <cell r="B205" t="str">
            <v>8306 JT</v>
          </cell>
          <cell r="C205" t="str">
            <v>MITSUBISHI UFJ FINANCIAL GRO</v>
          </cell>
          <cell r="D205">
            <v>3544</v>
          </cell>
          <cell r="E205">
            <v>3569</v>
          </cell>
          <cell r="F205">
            <v>3586</v>
          </cell>
          <cell r="G205">
            <v>33.096200000000003</v>
          </cell>
          <cell r="H205">
            <v>42059167.5</v>
          </cell>
        </row>
        <row r="206">
          <cell r="B206" t="str">
            <v>3382 JT</v>
          </cell>
          <cell r="C206" t="str">
            <v>SEVEN &amp; I HOLDINGS CO LTD</v>
          </cell>
          <cell r="D206">
            <v>1978</v>
          </cell>
          <cell r="E206">
            <v>1987</v>
          </cell>
          <cell r="F206">
            <v>1999.5</v>
          </cell>
          <cell r="G206">
            <v>26.409800000000001</v>
          </cell>
          <cell r="H206">
            <v>4589471.01</v>
          </cell>
        </row>
        <row r="207">
          <cell r="B207" t="str">
            <v>6178 JT</v>
          </cell>
          <cell r="C207" t="str">
            <v>JAPAN POST HOLDINGS CO LTD</v>
          </cell>
          <cell r="D207">
            <v>2465</v>
          </cell>
          <cell r="E207">
            <v>2479</v>
          </cell>
          <cell r="F207">
            <v>2509</v>
          </cell>
          <cell r="G207">
            <v>30.4358</v>
          </cell>
          <cell r="H207">
            <v>6922199.6900000004</v>
          </cell>
        </row>
        <row r="208">
          <cell r="B208" t="str">
            <v>6758 JT</v>
          </cell>
          <cell r="C208" t="str">
            <v>SONY GROUP CORP</v>
          </cell>
          <cell r="D208">
            <v>3753</v>
          </cell>
          <cell r="E208">
            <v>3722</v>
          </cell>
          <cell r="F208">
            <v>3787</v>
          </cell>
          <cell r="G208">
            <v>34.536799999999999</v>
          </cell>
          <cell r="H208">
            <v>22387832.170000002</v>
          </cell>
        </row>
        <row r="209">
          <cell r="B209" t="str">
            <v>MRVL UQ</v>
          </cell>
          <cell r="C209" t="str">
            <v>MARVELL TECHNOLOGY INC</v>
          </cell>
          <cell r="D209">
            <v>272.29000000000002</v>
          </cell>
          <cell r="E209">
            <v>278</v>
          </cell>
          <cell r="F209">
            <v>268.08</v>
          </cell>
          <cell r="G209">
            <v>83.012100000000004</v>
          </cell>
          <cell r="H209">
            <v>238771.1</v>
          </cell>
        </row>
        <row r="210">
          <cell r="B210" t="str">
            <v>6501 JT</v>
          </cell>
          <cell r="C210" t="str">
            <v>HITACHI LTD</v>
          </cell>
          <cell r="D210">
            <v>5522</v>
          </cell>
          <cell r="E210">
            <v>5455</v>
          </cell>
          <cell r="F210">
            <v>5510</v>
          </cell>
          <cell r="G210">
            <v>38.543399999999998</v>
          </cell>
          <cell r="H210">
            <v>25045367.760000002</v>
          </cell>
        </row>
        <row r="211">
          <cell r="B211" t="str">
            <v>7974 JT</v>
          </cell>
          <cell r="C211" t="str">
            <v>NINTENDO CO LTD</v>
          </cell>
          <cell r="D211">
            <v>7849</v>
          </cell>
          <cell r="E211">
            <v>7900</v>
          </cell>
          <cell r="F211">
            <v>7940</v>
          </cell>
          <cell r="G211">
            <v>42.365900000000003</v>
          </cell>
          <cell r="H211">
            <v>10103703.74</v>
          </cell>
        </row>
        <row r="212">
          <cell r="B212" t="str">
            <v>SMCI UW</v>
          </cell>
          <cell r="C212" t="str">
            <v>SUPER MICRO COMPUTER INC</v>
          </cell>
          <cell r="D212">
            <v>43.69</v>
          </cell>
          <cell r="E212">
            <v>42.74</v>
          </cell>
          <cell r="F212">
            <v>41.92</v>
          </cell>
          <cell r="G212">
            <v>102.90300000000001</v>
          </cell>
          <cell r="H212">
            <v>28702.82</v>
          </cell>
        </row>
        <row r="213">
          <cell r="B213" t="str">
            <v>6645 JT</v>
          </cell>
          <cell r="C213" t="str">
            <v>OMRON CORP</v>
          </cell>
          <cell r="D213">
            <v>6396</v>
          </cell>
          <cell r="E213">
            <v>6349</v>
          </cell>
          <cell r="F213">
            <v>6425</v>
          </cell>
          <cell r="G213">
            <v>48.543599999999998</v>
          </cell>
          <cell r="H213">
            <v>1319142.2</v>
          </cell>
        </row>
        <row r="214">
          <cell r="B214" t="str">
            <v>6506 JT</v>
          </cell>
          <cell r="C214" t="str">
            <v>YASKAWA ELECTRIC CORP</v>
          </cell>
          <cell r="D214">
            <v>4806</v>
          </cell>
          <cell r="E214">
            <v>4714</v>
          </cell>
          <cell r="F214">
            <v>4779</v>
          </cell>
          <cell r="G214">
            <v>61.015700000000002</v>
          </cell>
          <cell r="H214">
            <v>1281714.53</v>
          </cell>
        </row>
        <row r="215">
          <cell r="B215" t="str">
            <v>4062 JT</v>
          </cell>
          <cell r="C215" t="str">
            <v>IBIDEN CO LTD</v>
          </cell>
          <cell r="D215">
            <v>12100</v>
          </cell>
          <cell r="E215">
            <v>11995</v>
          </cell>
          <cell r="F215">
            <v>11995</v>
          </cell>
          <cell r="G215">
            <v>97.595500000000001</v>
          </cell>
          <cell r="H215">
            <v>6863880.1900000004</v>
          </cell>
        </row>
        <row r="216">
          <cell r="B216" t="str">
            <v>4188 JT</v>
          </cell>
          <cell r="C216" t="str">
            <v>MITSUBISHI CHEMICAL GROUP CO</v>
          </cell>
          <cell r="D216">
            <v>1143</v>
          </cell>
          <cell r="E216">
            <v>1140</v>
          </cell>
          <cell r="F216">
            <v>1155</v>
          </cell>
          <cell r="G216">
            <v>40.783799999999999</v>
          </cell>
          <cell r="H216">
            <v>1647597.02</v>
          </cell>
        </row>
        <row r="217">
          <cell r="B217" t="str">
            <v>8316 JT</v>
          </cell>
          <cell r="C217" t="str">
            <v>SUMITOMO MITSUI FINANCIAL GR</v>
          </cell>
          <cell r="D217">
            <v>3321</v>
          </cell>
          <cell r="E217">
            <v>3333</v>
          </cell>
          <cell r="F217">
            <v>3383</v>
          </cell>
          <cell r="G217">
            <v>35.674599999999998</v>
          </cell>
          <cell r="H217">
            <v>25247071.539999999</v>
          </cell>
        </row>
        <row r="218">
          <cell r="B218" t="str">
            <v>MCD UN</v>
          </cell>
          <cell r="C218" t="str">
            <v>MCDONALD'S CORP</v>
          </cell>
          <cell r="D218">
            <v>231.89</v>
          </cell>
          <cell r="E218">
            <v>232.5</v>
          </cell>
          <cell r="F218">
            <v>231.83</v>
          </cell>
          <cell r="G218">
            <v>19.849699999999999</v>
          </cell>
          <cell r="H218">
            <v>164094.99</v>
          </cell>
        </row>
        <row r="219">
          <cell r="B219" t="str">
            <v>3690 HK</v>
          </cell>
          <cell r="C219" t="str">
            <v>MEITUAN-CLASS B</v>
          </cell>
          <cell r="D219">
            <v>70.2</v>
          </cell>
          <cell r="E219">
            <v>70.3</v>
          </cell>
          <cell r="F219">
            <v>71.7</v>
          </cell>
          <cell r="G219">
            <v>43.167499999999997</v>
          </cell>
          <cell r="H219">
            <v>433519.03</v>
          </cell>
        </row>
        <row r="220">
          <cell r="B220" t="str">
            <v>AVGO UQ</v>
          </cell>
          <cell r="C220" t="str">
            <v>BROADCOM INC</v>
          </cell>
          <cell r="D220">
            <v>355.14</v>
          </cell>
          <cell r="E220">
            <v>350.34</v>
          </cell>
          <cell r="F220">
            <v>343.64</v>
          </cell>
          <cell r="G220">
            <v>45.164499999999997</v>
          </cell>
          <cell r="H220">
            <v>1695306.91</v>
          </cell>
        </row>
        <row r="221">
          <cell r="B221" t="str">
            <v>ISRG UQ</v>
          </cell>
          <cell r="C221" t="str">
            <v>INTUITIVE SURGICAL INC</v>
          </cell>
          <cell r="D221">
            <v>391.95</v>
          </cell>
          <cell r="E221">
            <v>406.47</v>
          </cell>
          <cell r="F221">
            <v>401.24</v>
          </cell>
          <cell r="G221">
            <v>36.8673</v>
          </cell>
          <cell r="H221">
            <v>138467.32999999999</v>
          </cell>
        </row>
        <row r="222">
          <cell r="B222" t="str">
            <v>6146 JT</v>
          </cell>
          <cell r="C222" t="str">
            <v>DISCO CORP</v>
          </cell>
          <cell r="D222">
            <v>60290</v>
          </cell>
          <cell r="E222">
            <v>60000</v>
          </cell>
          <cell r="F222">
            <v>60440</v>
          </cell>
          <cell r="G222">
            <v>68.670699999999997</v>
          </cell>
          <cell r="H222">
            <v>6542877.5300000003</v>
          </cell>
        </row>
        <row r="223">
          <cell r="B223" t="str">
            <v>4568 JT</v>
          </cell>
          <cell r="C223" t="str">
            <v>DAIICHI SANKYO CO LTD</v>
          </cell>
          <cell r="D223">
            <v>2709</v>
          </cell>
          <cell r="E223">
            <v>2720</v>
          </cell>
          <cell r="F223">
            <v>2740.5</v>
          </cell>
          <cell r="G223">
            <v>38.229599999999998</v>
          </cell>
          <cell r="H223">
            <v>5046578.03</v>
          </cell>
        </row>
        <row r="224">
          <cell r="B224" t="str">
            <v>SMH UQ</v>
          </cell>
          <cell r="C224" t="str">
            <v>VANECK SEMICONDUCTOR ETF</v>
          </cell>
          <cell r="D224">
            <v>630.6</v>
          </cell>
          <cell r="E224">
            <v>632.53</v>
          </cell>
          <cell r="F224">
            <v>617.80999999999995</v>
          </cell>
          <cell r="G224">
            <v>42.162100000000002</v>
          </cell>
          <cell r="H224">
            <v>77085.73</v>
          </cell>
        </row>
        <row r="225">
          <cell r="B225" t="str">
            <v>6954 JT</v>
          </cell>
          <cell r="C225" t="str">
            <v>FANUC CORP</v>
          </cell>
          <cell r="D225">
            <v>6075</v>
          </cell>
          <cell r="E225">
            <v>6031</v>
          </cell>
          <cell r="F225">
            <v>6127</v>
          </cell>
          <cell r="G225">
            <v>54.664499999999997</v>
          </cell>
          <cell r="H225">
            <v>5967305.0099999998</v>
          </cell>
        </row>
        <row r="226">
          <cell r="B226" t="str">
            <v>7751 JT</v>
          </cell>
          <cell r="C226" t="str">
            <v>CANON INC</v>
          </cell>
          <cell r="D226">
            <v>4607</v>
          </cell>
          <cell r="E226">
            <v>4630</v>
          </cell>
          <cell r="F226">
            <v>4676</v>
          </cell>
          <cell r="G226">
            <v>24.1433</v>
          </cell>
          <cell r="H226">
            <v>6144648.2800000003</v>
          </cell>
        </row>
        <row r="227">
          <cell r="B227" t="str">
            <v>6857 JT</v>
          </cell>
          <cell r="C227" t="str">
            <v>ADVANTEST CORP</v>
          </cell>
          <cell r="D227">
            <v>38630</v>
          </cell>
          <cell r="E227">
            <v>37700</v>
          </cell>
          <cell r="F227">
            <v>37610</v>
          </cell>
          <cell r="G227">
            <v>72.712400000000002</v>
          </cell>
          <cell r="H227">
            <v>28277160</v>
          </cell>
        </row>
        <row r="228">
          <cell r="B228" t="str">
            <v>PDD UW</v>
          </cell>
          <cell r="C228" t="str">
            <v>PDD HOLDINGS INC</v>
          </cell>
          <cell r="D228">
            <v>75.38</v>
          </cell>
          <cell r="E228">
            <v>76.3</v>
          </cell>
          <cell r="F228">
            <v>76.5</v>
          </cell>
          <cell r="G228">
            <v>35.092100000000002</v>
          </cell>
          <cell r="H228">
            <v>107295.63</v>
          </cell>
        </row>
        <row r="229">
          <cell r="B229" t="str">
            <v>UPST UQ</v>
          </cell>
          <cell r="C229" t="str">
            <v>UPSTART HOLDINGS INC</v>
          </cell>
          <cell r="D229">
            <v>22.81</v>
          </cell>
          <cell r="E229">
            <v>23.5</v>
          </cell>
          <cell r="F229">
            <v>22.95</v>
          </cell>
          <cell r="G229">
            <v>64.839299999999994</v>
          </cell>
          <cell r="H229">
            <v>2219.71</v>
          </cell>
        </row>
        <row r="230">
          <cell r="B230" t="str">
            <v>VFC UN</v>
          </cell>
          <cell r="C230" t="str">
            <v>VF CORP</v>
          </cell>
          <cell r="D230">
            <v>14.33</v>
          </cell>
          <cell r="E230">
            <v>14.56</v>
          </cell>
          <cell r="F230">
            <v>14.41</v>
          </cell>
          <cell r="G230">
            <v>47.132899999999999</v>
          </cell>
          <cell r="H230">
            <v>5633.62</v>
          </cell>
        </row>
        <row r="231">
          <cell r="B231" t="str">
            <v>LLY UN</v>
          </cell>
          <cell r="C231" t="str">
            <v>ELI LILLY &amp; CO</v>
          </cell>
          <cell r="D231">
            <v>1142.8499999999999</v>
          </cell>
          <cell r="E231">
            <v>1153.82</v>
          </cell>
          <cell r="F231">
            <v>1149.8499999999999</v>
          </cell>
          <cell r="G231">
            <v>36.194400000000002</v>
          </cell>
          <cell r="H231">
            <v>1075829.92</v>
          </cell>
        </row>
        <row r="232">
          <cell r="B232" t="str">
            <v>HCA UN</v>
          </cell>
          <cell r="C232" t="str">
            <v>HCA HEALTHCARE INC</v>
          </cell>
          <cell r="D232">
            <v>426.69</v>
          </cell>
          <cell r="E232">
            <v>425.78</v>
          </cell>
          <cell r="F232">
            <v>423.39</v>
          </cell>
          <cell r="G232">
            <v>32.672400000000003</v>
          </cell>
          <cell r="H232">
            <v>92379.03</v>
          </cell>
        </row>
        <row r="233">
          <cell r="B233" t="str">
            <v>ON UQ</v>
          </cell>
          <cell r="C233" t="str">
            <v>ON SEMICONDUCTOR</v>
          </cell>
          <cell r="D233">
            <v>84.89</v>
          </cell>
          <cell r="E233">
            <v>84.21</v>
          </cell>
          <cell r="F233">
            <v>80.08</v>
          </cell>
          <cell r="G233">
            <v>68.450299999999999</v>
          </cell>
          <cell r="H233">
            <v>33048.67</v>
          </cell>
        </row>
        <row r="234">
          <cell r="B234" t="str">
            <v>7182 JT</v>
          </cell>
          <cell r="C234" t="str">
            <v>JAPAN POST BANK CO LTD</v>
          </cell>
          <cell r="D234">
            <v>3395</v>
          </cell>
          <cell r="E234">
            <v>3415</v>
          </cell>
          <cell r="F234">
            <v>3441</v>
          </cell>
          <cell r="G234">
            <v>39.117699999999999</v>
          </cell>
          <cell r="H234">
            <v>12140108.25</v>
          </cell>
        </row>
        <row r="235">
          <cell r="B235" t="str">
            <v>GOOG UQ</v>
          </cell>
          <cell r="C235" t="str">
            <v>ALPHABET INC-CL C</v>
          </cell>
          <cell r="D235">
            <v>340.35</v>
          </cell>
          <cell r="E235">
            <v>338.2</v>
          </cell>
          <cell r="F235">
            <v>334.93</v>
          </cell>
          <cell r="G235">
            <v>31.6462</v>
          </cell>
          <cell r="H235">
            <v>4182279.83</v>
          </cell>
        </row>
        <row r="236">
          <cell r="B236" t="str">
            <v>ADBE UQ</v>
          </cell>
          <cell r="C236" t="str">
            <v>ADOBE INC</v>
          </cell>
          <cell r="D236">
            <v>237.69</v>
          </cell>
          <cell r="E236">
            <v>243.61</v>
          </cell>
          <cell r="F236">
            <v>241.28</v>
          </cell>
          <cell r="G236">
            <v>44.209899999999998</v>
          </cell>
          <cell r="H236">
            <v>92508.95</v>
          </cell>
        </row>
        <row r="237">
          <cell r="B237" t="str">
            <v>PANW UQ</v>
          </cell>
          <cell r="C237" t="str">
            <v>PALO ALTO NETWORKS INC</v>
          </cell>
          <cell r="D237">
            <v>403.24</v>
          </cell>
          <cell r="E237">
            <v>402.82</v>
          </cell>
          <cell r="F237">
            <v>396.25</v>
          </cell>
          <cell r="G237">
            <v>51.565300000000001</v>
          </cell>
          <cell r="H237">
            <v>329850.32</v>
          </cell>
        </row>
        <row r="238">
          <cell r="B238" t="str">
            <v>CRWD UQ</v>
          </cell>
          <cell r="C238" t="str">
            <v>CROWDSTRIKE HOLDINGS INC - A</v>
          </cell>
          <cell r="D238">
            <v>270.04000000000002</v>
          </cell>
          <cell r="E238">
            <v>269.41000000000003</v>
          </cell>
          <cell r="F238">
            <v>266.08999999999997</v>
          </cell>
          <cell r="G238">
            <v>58.953099999999999</v>
          </cell>
          <cell r="H238">
            <v>276503.36</v>
          </cell>
        </row>
        <row r="239">
          <cell r="B239" t="str">
            <v>ARM UW</v>
          </cell>
          <cell r="C239" t="str">
            <v>ARM HOLDINGS PLC-ADR</v>
          </cell>
          <cell r="D239">
            <v>307.49</v>
          </cell>
          <cell r="E239">
            <v>307.45</v>
          </cell>
          <cell r="F239">
            <v>292.33999999999997</v>
          </cell>
          <cell r="G239">
            <v>85.067499999999995</v>
          </cell>
          <cell r="H239">
            <v>328399.32</v>
          </cell>
        </row>
        <row r="240">
          <cell r="B240" t="str">
            <v>IWM UP</v>
          </cell>
          <cell r="C240" t="str">
            <v>ISHARES RUSSELL 2000 ETF</v>
          </cell>
          <cell r="D240">
            <v>281.52</v>
          </cell>
          <cell r="E240">
            <v>282.37</v>
          </cell>
          <cell r="F240">
            <v>279.02</v>
          </cell>
          <cell r="G240">
            <v>18.189</v>
          </cell>
          <cell r="H240">
            <v>79036.73</v>
          </cell>
        </row>
        <row r="241">
          <cell r="B241" t="str">
            <v>RIVN UW</v>
          </cell>
          <cell r="C241" t="str">
            <v>RIVIAN AUTOMOTIVE INC-A</v>
          </cell>
          <cell r="D241">
            <v>14.3</v>
          </cell>
          <cell r="E241">
            <v>15.24</v>
          </cell>
          <cell r="F241">
            <v>14.76</v>
          </cell>
          <cell r="G241">
            <v>68.379000000000005</v>
          </cell>
          <cell r="H241">
            <v>20704.41</v>
          </cell>
        </row>
        <row r="242">
          <cell r="B242" t="str">
            <v>4063 JT</v>
          </cell>
          <cell r="C242" t="str">
            <v>SHIN-ETSU CHEMICAL CO LTD</v>
          </cell>
          <cell r="D242">
            <v>6030</v>
          </cell>
          <cell r="E242">
            <v>5927</v>
          </cell>
          <cell r="F242">
            <v>6027</v>
          </cell>
          <cell r="G242">
            <v>43.956600000000002</v>
          </cell>
          <cell r="H242">
            <v>11969525.07</v>
          </cell>
        </row>
        <row r="243">
          <cell r="B243" t="str">
            <v>LULU UQ</v>
          </cell>
          <cell r="C243" t="str">
            <v>LULULEMON ATHLETICA INC</v>
          </cell>
          <cell r="D243">
            <v>94.46</v>
          </cell>
          <cell r="E243">
            <v>95.35</v>
          </cell>
          <cell r="F243">
            <v>95.86</v>
          </cell>
          <cell r="G243">
            <v>48.019100000000002</v>
          </cell>
          <cell r="H243">
            <v>10457.67</v>
          </cell>
        </row>
        <row r="244">
          <cell r="B244" t="str">
            <v>CMCSA UQ</v>
          </cell>
          <cell r="C244" t="str">
            <v>COMCAST CORP-CLASS A</v>
          </cell>
          <cell r="D244">
            <v>21.57</v>
          </cell>
          <cell r="E244">
            <v>21.84</v>
          </cell>
          <cell r="F244">
            <v>21.7</v>
          </cell>
          <cell r="G244">
            <v>34.143900000000002</v>
          </cell>
          <cell r="H244">
            <v>76544.09</v>
          </cell>
        </row>
        <row r="245">
          <cell r="B245" t="str">
            <v>ARM UQ</v>
          </cell>
          <cell r="C245" t="str">
            <v>ARM HOLDINGS PLC-ADR</v>
          </cell>
          <cell r="D245">
            <v>307.49</v>
          </cell>
          <cell r="E245">
            <v>307.45</v>
          </cell>
          <cell r="F245">
            <v>292.33999999999997</v>
          </cell>
          <cell r="G245">
            <v>85.067499999999995</v>
          </cell>
          <cell r="H245">
            <v>328399.32</v>
          </cell>
        </row>
        <row r="246">
          <cell r="B246" t="str">
            <v>7936 JT</v>
          </cell>
          <cell r="C246" t="str">
            <v>ASICS CORP</v>
          </cell>
          <cell r="D246">
            <v>4141</v>
          </cell>
          <cell r="E246">
            <v>4202</v>
          </cell>
          <cell r="F246">
            <v>4249</v>
          </cell>
          <cell r="G246">
            <v>39.994500000000002</v>
          </cell>
          <cell r="H246">
            <v>2937965.94</v>
          </cell>
        </row>
        <row r="247">
          <cell r="B247" t="str">
            <v>8411 JT</v>
          </cell>
          <cell r="C247" t="str">
            <v>MIZUHO FINANCIAL GROUP INC</v>
          </cell>
          <cell r="D247">
            <v>8446</v>
          </cell>
          <cell r="E247">
            <v>8524</v>
          </cell>
          <cell r="F247">
            <v>8611</v>
          </cell>
          <cell r="G247">
            <v>42.564999999999998</v>
          </cell>
          <cell r="H247">
            <v>20632159.02</v>
          </cell>
        </row>
        <row r="248">
          <cell r="B248" t="str">
            <v>7203 JT</v>
          </cell>
          <cell r="C248" t="str">
            <v>TOYOTA MOTOR CORP</v>
          </cell>
          <cell r="D248">
            <v>2856.5</v>
          </cell>
          <cell r="E248">
            <v>2884</v>
          </cell>
          <cell r="F248">
            <v>2925</v>
          </cell>
          <cell r="G248">
            <v>33.1892</v>
          </cell>
          <cell r="H248">
            <v>41690581.68</v>
          </cell>
        </row>
        <row r="249">
          <cell r="B249" t="str">
            <v>6861 JT</v>
          </cell>
          <cell r="C249" t="str">
            <v>KEYENCE CORP</v>
          </cell>
          <cell r="D249">
            <v>80270</v>
          </cell>
          <cell r="E249">
            <v>79700</v>
          </cell>
          <cell r="F249">
            <v>81200</v>
          </cell>
          <cell r="G249">
            <v>42.174799999999998</v>
          </cell>
          <cell r="H249">
            <v>19522280.789999999</v>
          </cell>
        </row>
        <row r="250">
          <cell r="B250" t="str">
            <v>CMCSA UW</v>
          </cell>
          <cell r="C250" t="str">
            <v>COMCAST CORP-CLASS A</v>
          </cell>
          <cell r="D250">
            <v>21.57</v>
          </cell>
          <cell r="E250">
            <v>21.84</v>
          </cell>
          <cell r="F250">
            <v>21.7</v>
          </cell>
          <cell r="G250">
            <v>34.143900000000002</v>
          </cell>
          <cell r="H250">
            <v>76544.09</v>
          </cell>
        </row>
        <row r="251">
          <cell r="B251" t="str">
            <v>LULU UW</v>
          </cell>
          <cell r="C251" t="str">
            <v>LULULEMON ATHLETICA INC</v>
          </cell>
          <cell r="D251">
            <v>94.46</v>
          </cell>
          <cell r="E251">
            <v>95.35</v>
          </cell>
          <cell r="F251">
            <v>95.86</v>
          </cell>
          <cell r="G251">
            <v>48.019100000000002</v>
          </cell>
          <cell r="H251">
            <v>10457.67</v>
          </cell>
        </row>
        <row r="252">
          <cell r="B252" t="str">
            <v>BKNG UQ</v>
          </cell>
          <cell r="C252" t="str">
            <v>BOOKING HOLDINGS INC</v>
          </cell>
          <cell r="D252">
            <v>159.02000000000001</v>
          </cell>
          <cell r="E252">
            <v>161.19999999999999</v>
          </cell>
          <cell r="F252">
            <v>160.28</v>
          </cell>
          <cell r="G252">
            <v>40.139200000000002</v>
          </cell>
          <cell r="H252">
            <v>119484.53</v>
          </cell>
        </row>
        <row r="253">
          <cell r="B253" t="str">
            <v>DECK UN</v>
          </cell>
          <cell r="C253" t="str">
            <v>DECKERS OUTDOOR CORP</v>
          </cell>
          <cell r="D253">
            <v>79.12</v>
          </cell>
          <cell r="E253">
            <v>79.5</v>
          </cell>
          <cell r="F253">
            <v>79.569999999999993</v>
          </cell>
          <cell r="G253">
            <v>42.389600000000002</v>
          </cell>
          <cell r="H253">
            <v>10778.34</v>
          </cell>
        </row>
        <row r="254">
          <cell r="B254" t="str">
            <v>6981 JT</v>
          </cell>
          <cell r="C254" t="str">
            <v>MURATA MANUFACTURING CO LTD</v>
          </cell>
          <cell r="D254">
            <v>8467</v>
          </cell>
          <cell r="E254">
            <v>8385</v>
          </cell>
          <cell r="F254">
            <v>8513</v>
          </cell>
          <cell r="G254">
            <v>78.293400000000005</v>
          </cell>
          <cell r="H254">
            <v>16620736.6</v>
          </cell>
        </row>
        <row r="255">
          <cell r="B255" t="str">
            <v>1321 JT</v>
          </cell>
          <cell r="C255" t="str">
            <v>NF NIKKEI 225 ETF</v>
          </cell>
          <cell r="D255">
            <v>710.4</v>
          </cell>
          <cell r="E255">
            <v>712.9</v>
          </cell>
          <cell r="F255">
            <v>718.1</v>
          </cell>
          <cell r="G255">
            <v>29.717700000000001</v>
          </cell>
          <cell r="H255">
            <v>182589.64</v>
          </cell>
        </row>
        <row r="256">
          <cell r="B256" t="str">
            <v>3099 JT</v>
          </cell>
          <cell r="C256" t="str">
            <v>ISETAN MITSUKOSHI HOLDINGS L</v>
          </cell>
          <cell r="D256">
            <v>1607.5</v>
          </cell>
          <cell r="E256">
            <v>1615</v>
          </cell>
          <cell r="F256">
            <v>1641</v>
          </cell>
          <cell r="G256">
            <v>34.744199999999999</v>
          </cell>
          <cell r="H256">
            <v>1181356.75</v>
          </cell>
        </row>
        <row r="257">
          <cell r="B257" t="str">
            <v>2875 JT</v>
          </cell>
          <cell r="C257" t="str">
            <v>TOYO SUISAN KAISHA LTD</v>
          </cell>
          <cell r="D257">
            <v>9478</v>
          </cell>
          <cell r="E257">
            <v>9468</v>
          </cell>
          <cell r="F257">
            <v>9584</v>
          </cell>
          <cell r="G257">
            <v>25.0291</v>
          </cell>
          <cell r="H257">
            <v>1050930.54</v>
          </cell>
        </row>
        <row r="258">
          <cell r="B258" t="str">
            <v>COIN UQ</v>
          </cell>
          <cell r="C258" t="str">
            <v>COINBASE GLOBAL INC -CLASS A</v>
          </cell>
          <cell r="D258">
            <v>183</v>
          </cell>
          <cell r="E258">
            <v>194.75</v>
          </cell>
          <cell r="F258">
            <v>189.29</v>
          </cell>
          <cell r="G258">
            <v>74.758700000000005</v>
          </cell>
          <cell r="H258">
            <v>48282.16</v>
          </cell>
        </row>
        <row r="259">
          <cell r="B259" t="str">
            <v>RUN UW</v>
          </cell>
          <cell r="C259" t="str">
            <v>SUNRUN INC</v>
          </cell>
          <cell r="D259">
            <v>7.71</v>
          </cell>
          <cell r="E259">
            <v>7.89</v>
          </cell>
          <cell r="F259">
            <v>7.64</v>
          </cell>
          <cell r="G259">
            <v>85.532300000000006</v>
          </cell>
          <cell r="H259">
            <v>1856.93</v>
          </cell>
        </row>
        <row r="260">
          <cell r="B260" t="str">
            <v>8697 JT</v>
          </cell>
          <cell r="C260" t="str">
            <v>JAPAN EXCHANGE GROUP INC</v>
          </cell>
          <cell r="D260">
            <v>2304</v>
          </cell>
          <cell r="E260">
            <v>2293</v>
          </cell>
          <cell r="F260">
            <v>2327</v>
          </cell>
          <cell r="G260">
            <v>36.542400000000001</v>
          </cell>
          <cell r="H260">
            <v>2377233.41</v>
          </cell>
        </row>
        <row r="261">
          <cell r="B261" t="str">
            <v>8604 JT</v>
          </cell>
          <cell r="C261" t="str">
            <v>NOMURA HOLDINGS INC</v>
          </cell>
          <cell r="D261">
            <v>1507</v>
          </cell>
          <cell r="E261">
            <v>1525</v>
          </cell>
          <cell r="F261">
            <v>1548.5</v>
          </cell>
          <cell r="G261">
            <v>36.825200000000002</v>
          </cell>
          <cell r="H261">
            <v>4654463.84</v>
          </cell>
        </row>
        <row r="262">
          <cell r="B262" t="str">
            <v>8601 JT</v>
          </cell>
          <cell r="C262" t="str">
            <v>DAIWA SECURITIES GROUP INC</v>
          </cell>
          <cell r="D262">
            <v>1751</v>
          </cell>
          <cell r="E262">
            <v>1788</v>
          </cell>
          <cell r="F262">
            <v>1802.5</v>
          </cell>
          <cell r="G262">
            <v>31.372</v>
          </cell>
          <cell r="H262">
            <v>2747982.23</v>
          </cell>
        </row>
        <row r="263">
          <cell r="B263" t="str">
            <v>COST UQ</v>
          </cell>
          <cell r="C263" t="str">
            <v>COSTCO WHOLESALE CORP</v>
          </cell>
          <cell r="D263">
            <v>920.65</v>
          </cell>
          <cell r="E263">
            <v>921.18</v>
          </cell>
          <cell r="F263">
            <v>914.94</v>
          </cell>
          <cell r="G263">
            <v>20.556000000000001</v>
          </cell>
          <cell r="H263">
            <v>408066.14</v>
          </cell>
        </row>
        <row r="264">
          <cell r="B264" t="str">
            <v>8308 JT</v>
          </cell>
          <cell r="C264" t="str">
            <v>RESONA HOLDINGS INC</v>
          </cell>
          <cell r="D264">
            <v>2474</v>
          </cell>
          <cell r="E264">
            <v>2469.5</v>
          </cell>
          <cell r="F264">
            <v>2473.5</v>
          </cell>
          <cell r="G264">
            <v>42.140599999999999</v>
          </cell>
          <cell r="H264">
            <v>5707856.1100000003</v>
          </cell>
        </row>
        <row r="265">
          <cell r="B265" t="str">
            <v>6920 JT</v>
          </cell>
          <cell r="C265" t="str">
            <v>LASERTEC CORP</v>
          </cell>
          <cell r="D265">
            <v>46130</v>
          </cell>
          <cell r="E265">
            <v>46110</v>
          </cell>
          <cell r="F265">
            <v>45710</v>
          </cell>
          <cell r="G265">
            <v>76.9846</v>
          </cell>
          <cell r="H265">
            <v>4349431.63</v>
          </cell>
        </row>
        <row r="266">
          <cell r="B266" t="str">
            <v>6902 JT</v>
          </cell>
          <cell r="C266" t="str">
            <v>DENSO CORP</v>
          </cell>
          <cell r="D266">
            <v>1808</v>
          </cell>
          <cell r="E266">
            <v>1821.5</v>
          </cell>
          <cell r="F266">
            <v>1840</v>
          </cell>
          <cell r="G266">
            <v>29.5319</v>
          </cell>
          <cell r="H266">
            <v>5263051.28</v>
          </cell>
        </row>
        <row r="267">
          <cell r="B267" t="str">
            <v>MRVL UW</v>
          </cell>
          <cell r="C267" t="str">
            <v>MARVELL TECHNOLOGY INC</v>
          </cell>
          <cell r="D267">
            <v>272.29000000000002</v>
          </cell>
          <cell r="E267">
            <v>278</v>
          </cell>
          <cell r="F267">
            <v>268.08</v>
          </cell>
          <cell r="G267">
            <v>83.012100000000004</v>
          </cell>
          <cell r="H267">
            <v>238771.1</v>
          </cell>
        </row>
        <row r="268">
          <cell r="B268" t="str">
            <v>COIN UW</v>
          </cell>
          <cell r="C268" t="str">
            <v>COINBASE GLOBAL INC -CLASS A</v>
          </cell>
          <cell r="D268">
            <v>183</v>
          </cell>
          <cell r="E268">
            <v>194.75</v>
          </cell>
          <cell r="F268">
            <v>189.29</v>
          </cell>
          <cell r="G268">
            <v>74.758700000000005</v>
          </cell>
          <cell r="H268">
            <v>48282.16</v>
          </cell>
        </row>
        <row r="269">
          <cell r="B269" t="str">
            <v>9618 HK</v>
          </cell>
          <cell r="C269" t="str">
            <v>JD.COM INC-CLASS A</v>
          </cell>
          <cell r="D269">
            <v>102.9</v>
          </cell>
          <cell r="E269">
            <v>101.6</v>
          </cell>
          <cell r="F269">
            <v>104.3</v>
          </cell>
          <cell r="G269">
            <v>34.208100000000002</v>
          </cell>
          <cell r="H269">
            <v>281085.90999999997</v>
          </cell>
        </row>
        <row r="270">
          <cell r="B270" t="str">
            <v>WOLF UN</v>
          </cell>
          <cell r="C270" t="str">
            <v>WOLFSPEED INC</v>
          </cell>
          <cell r="D270">
            <v>35.28</v>
          </cell>
          <cell r="E270">
            <v>32.54</v>
          </cell>
          <cell r="F270">
            <v>31.17</v>
          </cell>
          <cell r="G270">
            <v>120.3622</v>
          </cell>
          <cell r="H270">
            <v>1867.39</v>
          </cell>
        </row>
        <row r="271">
          <cell r="B271" t="str">
            <v>PTON UW</v>
          </cell>
          <cell r="C271" t="str">
            <v>PELOTON INTERACTIVE INC-A</v>
          </cell>
          <cell r="D271">
            <v>4.92</v>
          </cell>
          <cell r="E271">
            <v>5.05</v>
          </cell>
          <cell r="F271">
            <v>4.97</v>
          </cell>
          <cell r="G271">
            <v>64.227599999999995</v>
          </cell>
          <cell r="H271">
            <v>2159.25</v>
          </cell>
        </row>
        <row r="272">
          <cell r="B272" t="str">
            <v>NVAX UW</v>
          </cell>
          <cell r="C272" t="str">
            <v>NOVAVAX INC</v>
          </cell>
          <cell r="D272">
            <v>10.46</v>
          </cell>
          <cell r="E272">
            <v>10.8</v>
          </cell>
          <cell r="F272">
            <v>10.6</v>
          </cell>
          <cell r="G272">
            <v>66.917900000000003</v>
          </cell>
          <cell r="H272">
            <v>1725.33</v>
          </cell>
        </row>
        <row r="273">
          <cell r="B273" t="str">
            <v>AFRM UW</v>
          </cell>
          <cell r="C273" t="str">
            <v>AFFIRM HOLDINGS INC</v>
          </cell>
          <cell r="D273">
            <v>70.77</v>
          </cell>
          <cell r="E273">
            <v>72</v>
          </cell>
          <cell r="F273">
            <v>70.430000000000007</v>
          </cell>
          <cell r="G273">
            <v>58.481099999999998</v>
          </cell>
          <cell r="H273">
            <v>23895.94</v>
          </cell>
        </row>
        <row r="274">
          <cell r="B274" t="str">
            <v>SNY UW</v>
          </cell>
          <cell r="C274" t="str">
            <v>SANOFI-ADR</v>
          </cell>
          <cell r="D274">
            <v>39.92</v>
          </cell>
          <cell r="E274">
            <v>39.58</v>
          </cell>
          <cell r="F274">
            <v>40.67</v>
          </cell>
          <cell r="G274">
            <v>24.1524</v>
          </cell>
          <cell r="H274">
            <v>96428.63</v>
          </cell>
        </row>
        <row r="275">
          <cell r="B275" t="str">
            <v>8802 JT</v>
          </cell>
          <cell r="C275" t="str">
            <v>MITSUBISHI ESTATE CO LTD</v>
          </cell>
          <cell r="D275">
            <v>3498</v>
          </cell>
          <cell r="E275">
            <v>3555</v>
          </cell>
          <cell r="F275">
            <v>3592</v>
          </cell>
          <cell r="G275">
            <v>37.194000000000003</v>
          </cell>
          <cell r="H275">
            <v>4236444.96</v>
          </cell>
        </row>
        <row r="276">
          <cell r="B276" t="str">
            <v>8801 JT</v>
          </cell>
          <cell r="C276" t="str">
            <v>MITSUI FUDOSAN CO LTD</v>
          </cell>
          <cell r="D276">
            <v>1426</v>
          </cell>
          <cell r="E276">
            <v>1457</v>
          </cell>
          <cell r="F276">
            <v>1475</v>
          </cell>
          <cell r="G276">
            <v>32.9649</v>
          </cell>
          <cell r="H276">
            <v>3840480.43</v>
          </cell>
        </row>
        <row r="277">
          <cell r="B277" t="str">
            <v>JNJ UN</v>
          </cell>
          <cell r="C277" t="str">
            <v>JOHNSON &amp; JOHNSON</v>
          </cell>
          <cell r="D277">
            <v>256.02999999999997</v>
          </cell>
          <cell r="E277">
            <v>259.38</v>
          </cell>
          <cell r="F277">
            <v>258.66000000000003</v>
          </cell>
          <cell r="G277">
            <v>20.187999999999999</v>
          </cell>
          <cell r="H277">
            <v>617006.34</v>
          </cell>
        </row>
        <row r="278">
          <cell r="B278" t="str">
            <v>ALGN UW</v>
          </cell>
          <cell r="C278" t="str">
            <v>ALIGN TECHNOLOGY INC</v>
          </cell>
          <cell r="D278">
            <v>143.74</v>
          </cell>
          <cell r="E278">
            <v>147.09</v>
          </cell>
          <cell r="F278">
            <v>145.345</v>
          </cell>
          <cell r="G278">
            <v>41.305900000000001</v>
          </cell>
          <cell r="H278">
            <v>10211.27</v>
          </cell>
        </row>
        <row r="279">
          <cell r="B279" t="str">
            <v>ULTA UW</v>
          </cell>
          <cell r="C279" t="str">
            <v>ULTA BEAUTY INC</v>
          </cell>
          <cell r="D279">
            <v>543.69000000000005</v>
          </cell>
          <cell r="E279">
            <v>537.74</v>
          </cell>
          <cell r="F279">
            <v>537.73</v>
          </cell>
          <cell r="G279">
            <v>35.551699999999997</v>
          </cell>
          <cell r="H279">
            <v>23246.81</v>
          </cell>
        </row>
        <row r="280">
          <cell r="B280" t="str">
            <v>NXPI UW</v>
          </cell>
          <cell r="C280" t="str">
            <v>NXP SEMICONDUCTORS NV</v>
          </cell>
          <cell r="D280">
            <v>243.66</v>
          </cell>
          <cell r="E280">
            <v>245.37</v>
          </cell>
          <cell r="F280">
            <v>239.19</v>
          </cell>
          <cell r="G280">
            <v>50.9161</v>
          </cell>
          <cell r="H280">
            <v>61517.1</v>
          </cell>
        </row>
        <row r="281">
          <cell r="B281" t="str">
            <v>DD UN</v>
          </cell>
          <cell r="C281" t="str">
            <v>DUPONT DE NEMOURS INC</v>
          </cell>
          <cell r="D281">
            <v>129.97999999999999</v>
          </cell>
          <cell r="E281">
            <v>130.74</v>
          </cell>
          <cell r="F281">
            <v>129.19999999999999</v>
          </cell>
          <cell r="G281">
            <v>30.326599999999999</v>
          </cell>
          <cell r="H281">
            <v>17552.89</v>
          </cell>
        </row>
        <row r="282">
          <cell r="B282" t="str">
            <v>NXPI UP</v>
          </cell>
          <cell r="C282" t="str">
            <v>NXP SEMICONDUCTORS NV</v>
          </cell>
          <cell r="D282">
            <v>243.76</v>
          </cell>
          <cell r="E282">
            <v>245.74</v>
          </cell>
          <cell r="F282">
            <v>239.1</v>
          </cell>
          <cell r="G282">
            <v>50.947200000000002</v>
          </cell>
          <cell r="H282">
            <v>61542.35</v>
          </cell>
        </row>
        <row r="283">
          <cell r="B283" t="str">
            <v>SOXX UQ</v>
          </cell>
          <cell r="C283" t="str">
            <v>ISHARES SEMICONDUCTOR ETF</v>
          </cell>
          <cell r="D283">
            <v>588.9</v>
          </cell>
          <cell r="E283">
            <v>591.15</v>
          </cell>
          <cell r="F283">
            <v>576.33000000000004</v>
          </cell>
          <cell r="G283">
            <v>49.168599999999998</v>
          </cell>
          <cell r="H283">
            <v>48819.81</v>
          </cell>
        </row>
        <row r="284">
          <cell r="B284" t="str">
            <v>3289 JT</v>
          </cell>
          <cell r="C284" t="str">
            <v>TOKYU FUDOSAN HOLDINGS CORP</v>
          </cell>
          <cell r="D284">
            <v>1202</v>
          </cell>
          <cell r="E284">
            <v>1220.5</v>
          </cell>
          <cell r="F284">
            <v>1229.5</v>
          </cell>
          <cell r="G284">
            <v>26.651</v>
          </cell>
          <cell r="H284">
            <v>865236.83</v>
          </cell>
        </row>
        <row r="285">
          <cell r="B285" t="str">
            <v>BMRN UW</v>
          </cell>
          <cell r="C285" t="str">
            <v>BIOMARIN PHARMACEUTICAL INC</v>
          </cell>
          <cell r="D285">
            <v>57.18</v>
          </cell>
          <cell r="E285">
            <v>58.52</v>
          </cell>
          <cell r="F285">
            <v>58.44</v>
          </cell>
          <cell r="G285">
            <v>36.721600000000002</v>
          </cell>
          <cell r="H285">
            <v>11068.55</v>
          </cell>
        </row>
        <row r="286">
          <cell r="B286" t="str">
            <v>7012 JT</v>
          </cell>
          <cell r="C286" t="str">
            <v>KAWASAKI HEAVY INDUSTRIES</v>
          </cell>
          <cell r="D286">
            <v>2350</v>
          </cell>
          <cell r="E286">
            <v>2338</v>
          </cell>
          <cell r="F286">
            <v>2352</v>
          </cell>
          <cell r="G286">
            <v>54.9711</v>
          </cell>
          <cell r="H286">
            <v>2060853.65</v>
          </cell>
        </row>
        <row r="287">
          <cell r="B287" t="str">
            <v>9888 HK</v>
          </cell>
          <cell r="C287" t="str">
            <v>BAIDU INC-CLASS A-HKD</v>
          </cell>
          <cell r="D287">
            <v>83.2</v>
          </cell>
          <cell r="E287">
            <v>83.2</v>
          </cell>
          <cell r="F287">
            <v>85.8</v>
          </cell>
          <cell r="G287">
            <v>46.794199999999996</v>
          </cell>
          <cell r="H287">
            <v>227432.32000000001</v>
          </cell>
        </row>
        <row r="288">
          <cell r="B288" t="str">
            <v>285 HK</v>
          </cell>
          <cell r="C288" t="str">
            <v>BYD ELECTRONIC INTL CO LTD</v>
          </cell>
          <cell r="D288">
            <v>22.54</v>
          </cell>
          <cell r="E288">
            <v>22.76</v>
          </cell>
          <cell r="F288">
            <v>22.98</v>
          </cell>
          <cell r="G288">
            <v>40.974200000000003</v>
          </cell>
          <cell r="H288">
            <v>50787.23</v>
          </cell>
        </row>
        <row r="289">
          <cell r="B289" t="str">
            <v>7267 JT</v>
          </cell>
          <cell r="C289" t="str">
            <v>HONDA MOTOR CO LTD</v>
          </cell>
          <cell r="D289">
            <v>1664.5</v>
          </cell>
          <cell r="E289">
            <v>1674</v>
          </cell>
          <cell r="F289">
            <v>1696</v>
          </cell>
          <cell r="G289">
            <v>33.2027</v>
          </cell>
          <cell r="H289">
            <v>7545178.5</v>
          </cell>
        </row>
        <row r="290">
          <cell r="B290" t="str">
            <v>2587 JT</v>
          </cell>
          <cell r="C290" t="str">
            <v>SUNTORY BEVERAGE &amp; FOOD LTD</v>
          </cell>
          <cell r="D290">
            <v>4466</v>
          </cell>
          <cell r="E290">
            <v>4484</v>
          </cell>
          <cell r="F290">
            <v>4519</v>
          </cell>
          <cell r="G290">
            <v>22.425000000000001</v>
          </cell>
          <cell r="H290">
            <v>1379994</v>
          </cell>
        </row>
        <row r="291">
          <cell r="B291" t="str">
            <v>VST UN</v>
          </cell>
          <cell r="C291" t="str">
            <v>VISTRA CORP</v>
          </cell>
          <cell r="D291">
            <v>140.02000000000001</v>
          </cell>
          <cell r="E291">
            <v>142.05000000000001</v>
          </cell>
          <cell r="F291">
            <v>139.75</v>
          </cell>
          <cell r="G291">
            <v>49.4773</v>
          </cell>
          <cell r="H291">
            <v>46995.64</v>
          </cell>
        </row>
        <row r="292">
          <cell r="B292" t="str">
            <v>MSTR UW</v>
          </cell>
          <cell r="C292" t="str">
            <v>STRATEGY INC</v>
          </cell>
          <cell r="D292">
            <v>160.01</v>
          </cell>
          <cell r="E292">
            <v>165.85</v>
          </cell>
          <cell r="F292">
            <v>160.5</v>
          </cell>
          <cell r="G292">
            <v>84.540599999999998</v>
          </cell>
          <cell r="H292">
            <v>61479.96</v>
          </cell>
        </row>
        <row r="293">
          <cell r="B293" t="str">
            <v>PANW UW</v>
          </cell>
          <cell r="C293" t="str">
            <v>PALO ALTO NETWORKS INC</v>
          </cell>
          <cell r="D293">
            <v>403.24</v>
          </cell>
          <cell r="E293">
            <v>402.82</v>
          </cell>
          <cell r="F293">
            <v>396.25</v>
          </cell>
          <cell r="G293">
            <v>51.565300000000001</v>
          </cell>
          <cell r="H293">
            <v>329850.32</v>
          </cell>
        </row>
        <row r="294">
          <cell r="B294" t="str">
            <v>2318 HK</v>
          </cell>
          <cell r="C294" t="str">
            <v>PING AN INSURANCE GROUP CO-H</v>
          </cell>
          <cell r="D294">
            <v>52</v>
          </cell>
          <cell r="E294">
            <v>51.95</v>
          </cell>
          <cell r="F294">
            <v>52.75</v>
          </cell>
          <cell r="G294">
            <v>28.173500000000001</v>
          </cell>
          <cell r="H294">
            <v>1051986.94</v>
          </cell>
        </row>
        <row r="295">
          <cell r="B295" t="str">
            <v>1211 HK</v>
          </cell>
          <cell r="C295" t="str">
            <v>BYD CO LTD-H</v>
          </cell>
          <cell r="D295">
            <v>73.900000000000006</v>
          </cell>
          <cell r="E295">
            <v>74.599999999999994</v>
          </cell>
          <cell r="F295">
            <v>75.599999999999994</v>
          </cell>
          <cell r="G295">
            <v>39.406799999999997</v>
          </cell>
          <cell r="H295">
            <v>801902.25</v>
          </cell>
        </row>
        <row r="296">
          <cell r="B296" t="str">
            <v>2015 HK</v>
          </cell>
          <cell r="C296" t="str">
            <v>LI AUTO INC-CLASS A</v>
          </cell>
          <cell r="D296">
            <v>42.62</v>
          </cell>
          <cell r="E296">
            <v>44.14</v>
          </cell>
          <cell r="F296">
            <v>45.04</v>
          </cell>
          <cell r="G296">
            <v>45.162599999999998</v>
          </cell>
          <cell r="H296">
            <v>88301.92</v>
          </cell>
        </row>
        <row r="297">
          <cell r="B297" t="str">
            <v>NCLH UN</v>
          </cell>
          <cell r="C297" t="str">
            <v>NORWEGIAN CRUISE LINE HOLDIN</v>
          </cell>
          <cell r="D297">
            <v>15.14</v>
          </cell>
          <cell r="E297">
            <v>14.9</v>
          </cell>
          <cell r="F297">
            <v>14.64</v>
          </cell>
          <cell r="G297">
            <v>56.276699999999998</v>
          </cell>
          <cell r="H297">
            <v>6952.1</v>
          </cell>
        </row>
        <row r="298">
          <cell r="B298" t="str">
            <v>DELL UN</v>
          </cell>
          <cell r="C298" t="str">
            <v>DELL TECHNOLOGIES -C</v>
          </cell>
          <cell r="D298">
            <v>562.52</v>
          </cell>
          <cell r="E298">
            <v>551.02</v>
          </cell>
          <cell r="F298">
            <v>541.74</v>
          </cell>
          <cell r="G298">
            <v>77.987200000000001</v>
          </cell>
          <cell r="H298">
            <v>357657.39</v>
          </cell>
        </row>
        <row r="299">
          <cell r="B299" t="str">
            <v>PLTR UW</v>
          </cell>
          <cell r="C299" t="str">
            <v>PALANTIR TECHNOLOGIES INC-A</v>
          </cell>
          <cell r="D299">
            <v>188.75</v>
          </cell>
          <cell r="E299">
            <v>193.22</v>
          </cell>
          <cell r="F299">
            <v>190.04</v>
          </cell>
          <cell r="G299">
            <v>61.774999999999999</v>
          </cell>
          <cell r="H299">
            <v>453577.29</v>
          </cell>
        </row>
        <row r="300">
          <cell r="B300" t="str">
            <v>XLF UP</v>
          </cell>
          <cell r="C300" t="str">
            <v>SS FINANCIAL SELECT SECTOR</v>
          </cell>
          <cell r="D300">
            <v>53.49</v>
          </cell>
          <cell r="E300">
            <v>53.54</v>
          </cell>
          <cell r="F300">
            <v>53.46</v>
          </cell>
          <cell r="G300">
            <v>15.0101</v>
          </cell>
          <cell r="H300">
            <v>49836.39</v>
          </cell>
        </row>
        <row r="301">
          <cell r="B301" t="str">
            <v>CVS UN</v>
          </cell>
          <cell r="C301" t="str">
            <v>CVS HEALTH CORP</v>
          </cell>
          <cell r="D301">
            <v>86.46</v>
          </cell>
          <cell r="E301">
            <v>85.25</v>
          </cell>
          <cell r="F301">
            <v>85.2</v>
          </cell>
          <cell r="G301">
            <v>33.663400000000003</v>
          </cell>
          <cell r="H301">
            <v>110579.78</v>
          </cell>
        </row>
        <row r="302">
          <cell r="B302" t="str">
            <v>DPZ UW</v>
          </cell>
          <cell r="C302" t="str">
            <v>DOMINO'S PIZZA INC</v>
          </cell>
          <cell r="D302">
            <v>297.61500000000001</v>
          </cell>
          <cell r="E302">
            <v>296.79000000000002</v>
          </cell>
          <cell r="F302">
            <v>295</v>
          </cell>
          <cell r="G302">
            <v>33.194099999999999</v>
          </cell>
          <cell r="H302">
            <v>9845.6200000000008</v>
          </cell>
        </row>
        <row r="303">
          <cell r="B303" t="str">
            <v>REGN UW</v>
          </cell>
          <cell r="C303" t="str">
            <v>REGENERON PHARMACEUTICALS</v>
          </cell>
          <cell r="D303">
            <v>735.2</v>
          </cell>
          <cell r="E303">
            <v>740</v>
          </cell>
          <cell r="F303">
            <v>734.81</v>
          </cell>
          <cell r="G303">
            <v>31.283799999999999</v>
          </cell>
          <cell r="H303">
            <v>75692.509999999995</v>
          </cell>
        </row>
        <row r="304">
          <cell r="B304" t="str">
            <v>LRCX UW</v>
          </cell>
          <cell r="C304" t="str">
            <v>LAM RESEARCH CORP</v>
          </cell>
          <cell r="D304">
            <v>347.49</v>
          </cell>
          <cell r="E304">
            <v>350</v>
          </cell>
          <cell r="F304">
            <v>340.1</v>
          </cell>
          <cell r="G304">
            <v>68.934899999999999</v>
          </cell>
          <cell r="H304">
            <v>434857.45</v>
          </cell>
        </row>
        <row r="305">
          <cell r="B305" t="str">
            <v>1347 HK</v>
          </cell>
          <cell r="C305" t="str">
            <v>HUA HONG GRACE SEMICONDUCTOR</v>
          </cell>
          <cell r="D305">
            <v>105.5</v>
          </cell>
          <cell r="E305">
            <v>105.2</v>
          </cell>
          <cell r="F305">
            <v>105.4</v>
          </cell>
          <cell r="G305">
            <v>84.183599999999998</v>
          </cell>
          <cell r="H305">
            <v>349069.93</v>
          </cell>
        </row>
        <row r="306">
          <cell r="B306" t="str">
            <v>GOOGL UQ</v>
          </cell>
          <cell r="C306" t="str">
            <v>ALPHABET INC-CL A</v>
          </cell>
          <cell r="D306">
            <v>343.5</v>
          </cell>
          <cell r="E306">
            <v>342.29</v>
          </cell>
          <cell r="F306">
            <v>338.24</v>
          </cell>
          <cell r="G306">
            <v>32.1282</v>
          </cell>
          <cell r="H306">
            <v>4182279.83</v>
          </cell>
        </row>
        <row r="307">
          <cell r="B307" t="str">
            <v>SLV UP</v>
          </cell>
          <cell r="C307" t="str">
            <v>ISHARES SILVER TRUST</v>
          </cell>
          <cell r="D307">
            <v>54.74</v>
          </cell>
          <cell r="E307">
            <v>55.45</v>
          </cell>
          <cell r="F307">
            <v>55.02</v>
          </cell>
          <cell r="G307">
            <v>72.034499999999994</v>
          </cell>
          <cell r="H307">
            <v>29904.46</v>
          </cell>
        </row>
        <row r="308">
          <cell r="B308" t="str">
            <v>XOP UP</v>
          </cell>
          <cell r="C308" t="str">
            <v>SS SPDR S&amp;P OG EXP &amp; PROD</v>
          </cell>
          <cell r="D308">
            <v>184.93</v>
          </cell>
          <cell r="E308">
            <v>182.17</v>
          </cell>
          <cell r="F308">
            <v>184.3</v>
          </cell>
          <cell r="G308">
            <v>30.2578</v>
          </cell>
          <cell r="H308">
            <v>4059.21</v>
          </cell>
        </row>
        <row r="309">
          <cell r="B309" t="str">
            <v>TEM UW</v>
          </cell>
          <cell r="C309" t="str">
            <v>TEMPUS AI INC-CL A</v>
          </cell>
          <cell r="D309">
            <v>76.63</v>
          </cell>
          <cell r="E309">
            <v>77.36</v>
          </cell>
          <cell r="F309">
            <v>76.5</v>
          </cell>
          <cell r="G309">
            <v>75.620599999999996</v>
          </cell>
          <cell r="H309">
            <v>13826.72</v>
          </cell>
        </row>
        <row r="310">
          <cell r="B310" t="str">
            <v>ORCL UN</v>
          </cell>
          <cell r="C310" t="str">
            <v>ORACLE CORP</v>
          </cell>
          <cell r="D310">
            <v>142.30000000000001</v>
          </cell>
          <cell r="E310">
            <v>142.54</v>
          </cell>
          <cell r="F310">
            <v>138.07</v>
          </cell>
          <cell r="G310">
            <v>58.347200000000001</v>
          </cell>
          <cell r="H310">
            <v>431382.61</v>
          </cell>
        </row>
        <row r="311">
          <cell r="B311" t="str">
            <v>FDX UN</v>
          </cell>
          <cell r="C311" t="str">
            <v>FEDEX CORP</v>
          </cell>
          <cell r="D311">
            <v>290.36</v>
          </cell>
          <cell r="E311">
            <v>287.64999999999998</v>
          </cell>
          <cell r="F311">
            <v>287.07</v>
          </cell>
          <cell r="G311">
            <v>30.191400000000002</v>
          </cell>
          <cell r="H311">
            <v>68719.63</v>
          </cell>
        </row>
        <row r="312">
          <cell r="B312" t="str">
            <v>SOFI UW</v>
          </cell>
          <cell r="C312" t="str">
            <v>SOFI TECHNOLOGIES INC</v>
          </cell>
          <cell r="D312">
            <v>15.77</v>
          </cell>
          <cell r="E312">
            <v>16.11</v>
          </cell>
          <cell r="F312">
            <v>15.84</v>
          </cell>
          <cell r="G312">
            <v>53.8202</v>
          </cell>
          <cell r="H312">
            <v>20368.060000000001</v>
          </cell>
        </row>
        <row r="313">
          <cell r="B313" t="str">
            <v>VRT UN</v>
          </cell>
          <cell r="C313" t="str">
            <v>VERTIV HOLDINGS CO-A</v>
          </cell>
          <cell r="D313">
            <v>252.18</v>
          </cell>
          <cell r="E313">
            <v>251</v>
          </cell>
          <cell r="F313">
            <v>246.12</v>
          </cell>
          <cell r="G313">
            <v>68.846699999999998</v>
          </cell>
          <cell r="H313">
            <v>97086.32</v>
          </cell>
        </row>
        <row r="314">
          <cell r="B314" t="str">
            <v>NBIS UW</v>
          </cell>
          <cell r="C314" t="str">
            <v>NEBIUS GROUP NV</v>
          </cell>
          <cell r="D314">
            <v>242.81</v>
          </cell>
          <cell r="E314">
            <v>235.76</v>
          </cell>
          <cell r="F314">
            <v>232.28</v>
          </cell>
          <cell r="G314">
            <v>112.2723</v>
          </cell>
          <cell r="H314">
            <v>69845.56</v>
          </cell>
        </row>
        <row r="315">
          <cell r="B315" t="str">
            <v>BIIB UQ</v>
          </cell>
          <cell r="C315" t="str">
            <v>BIOGEN INC</v>
          </cell>
          <cell r="D315">
            <v>219.88</v>
          </cell>
          <cell r="E315">
            <v>222.98</v>
          </cell>
          <cell r="F315">
            <v>222.82</v>
          </cell>
          <cell r="G315">
            <v>35.663400000000003</v>
          </cell>
          <cell r="H315">
            <v>32488.15</v>
          </cell>
        </row>
        <row r="316">
          <cell r="B316" t="str">
            <v>GILD UQ</v>
          </cell>
          <cell r="C316" t="str">
            <v>GILEAD SCIENCES INC</v>
          </cell>
          <cell r="D316">
            <v>144.74</v>
          </cell>
          <cell r="E316">
            <v>147.69999999999999</v>
          </cell>
          <cell r="F316">
            <v>147.5</v>
          </cell>
          <cell r="G316">
            <v>27.4405</v>
          </cell>
          <cell r="H316">
            <v>179470.39</v>
          </cell>
        </row>
        <row r="317">
          <cell r="B317" t="str">
            <v>AMGN UQ</v>
          </cell>
          <cell r="C317" t="str">
            <v>AMGEN INC</v>
          </cell>
          <cell r="D317">
            <v>403.04</v>
          </cell>
          <cell r="E317">
            <v>409.1</v>
          </cell>
          <cell r="F317">
            <v>407.27</v>
          </cell>
          <cell r="G317">
            <v>29.946200000000001</v>
          </cell>
          <cell r="H317">
            <v>217896.32000000001</v>
          </cell>
        </row>
        <row r="318">
          <cell r="B318" t="str">
            <v>EXPE UQ</v>
          </cell>
          <cell r="C318" t="str">
            <v>EXPEDIA GROUP INC</v>
          </cell>
          <cell r="D318">
            <v>265</v>
          </cell>
          <cell r="E318">
            <v>265.44</v>
          </cell>
          <cell r="F318">
            <v>262.67</v>
          </cell>
          <cell r="G318">
            <v>50.430300000000003</v>
          </cell>
          <cell r="H318">
            <v>31805.13</v>
          </cell>
        </row>
        <row r="319">
          <cell r="B319" t="str">
            <v>ABNB UQ</v>
          </cell>
          <cell r="C319" t="str">
            <v>AIRBNB INC-CLASS A</v>
          </cell>
          <cell r="D319">
            <v>162.43</v>
          </cell>
          <cell r="E319">
            <v>164.37</v>
          </cell>
          <cell r="F319">
            <v>160.47</v>
          </cell>
          <cell r="G319">
            <v>38.187899999999999</v>
          </cell>
          <cell r="H319">
            <v>97260.76</v>
          </cell>
        </row>
        <row r="320">
          <cell r="B320" t="str">
            <v>FBYD UQ</v>
          </cell>
          <cell r="C320" t="str">
            <v>FALCON'S BEYOND GLOBAL INC-A</v>
          </cell>
          <cell r="D320">
            <v>8.5649999999999995</v>
          </cell>
          <cell r="E320">
            <v>8.6</v>
          </cell>
          <cell r="F320">
            <v>8.52</v>
          </cell>
          <cell r="G320">
            <v>138.35759999999999</v>
          </cell>
          <cell r="H320">
            <v>1038.5899999999999</v>
          </cell>
        </row>
        <row r="321">
          <cell r="B321" t="str">
            <v>SBUX UQ</v>
          </cell>
          <cell r="C321" t="str">
            <v>STARBUCKS CORP</v>
          </cell>
          <cell r="D321">
            <v>94.71</v>
          </cell>
          <cell r="E321">
            <v>95.08</v>
          </cell>
          <cell r="F321">
            <v>94.88</v>
          </cell>
          <cell r="G321">
            <v>27.515799999999999</v>
          </cell>
          <cell r="H321">
            <v>107969.4</v>
          </cell>
        </row>
        <row r="322">
          <cell r="B322" t="str">
            <v>RUN UQ</v>
          </cell>
          <cell r="C322" t="str">
            <v>SUNRUN INC</v>
          </cell>
          <cell r="D322">
            <v>7.71</v>
          </cell>
          <cell r="E322">
            <v>7.89</v>
          </cell>
          <cell r="F322">
            <v>7.64</v>
          </cell>
          <cell r="G322">
            <v>85.532300000000006</v>
          </cell>
          <cell r="H322">
            <v>1856.93</v>
          </cell>
        </row>
        <row r="323">
          <cell r="B323" t="str">
            <v>AMAT UQ</v>
          </cell>
          <cell r="C323" t="str">
            <v>APPLIED MATERIALS INC</v>
          </cell>
          <cell r="D323">
            <v>540.04</v>
          </cell>
          <cell r="E323">
            <v>544.44000000000005</v>
          </cell>
          <cell r="F323">
            <v>529.29999999999995</v>
          </cell>
          <cell r="G323">
            <v>64.058400000000006</v>
          </cell>
          <cell r="H323">
            <v>428574.36</v>
          </cell>
        </row>
        <row r="324">
          <cell r="B324" t="str">
            <v>RIVN UQ</v>
          </cell>
          <cell r="C324" t="str">
            <v>RIVIAN AUTOMOTIVE INC-A</v>
          </cell>
          <cell r="D324">
            <v>14.3</v>
          </cell>
          <cell r="E324">
            <v>15.24</v>
          </cell>
          <cell r="F324">
            <v>14.76</v>
          </cell>
          <cell r="G324">
            <v>68.379000000000005</v>
          </cell>
          <cell r="H324">
            <v>20704.41</v>
          </cell>
        </row>
        <row r="325">
          <cell r="B325" t="str">
            <v>INCY UQ</v>
          </cell>
          <cell r="C325" t="str">
            <v>INCYTE CORP</v>
          </cell>
          <cell r="D325">
            <v>115.3</v>
          </cell>
          <cell r="E325">
            <v>116.76</v>
          </cell>
          <cell r="F325">
            <v>117.14</v>
          </cell>
          <cell r="G325">
            <v>33.759700000000002</v>
          </cell>
          <cell r="H325">
            <v>23371.05</v>
          </cell>
        </row>
        <row r="326">
          <cell r="B326" t="str">
            <v>PDD UQ</v>
          </cell>
          <cell r="C326" t="str">
            <v>PDD HOLDINGS INC</v>
          </cell>
          <cell r="D326">
            <v>75.38</v>
          </cell>
          <cell r="E326">
            <v>76.3</v>
          </cell>
          <cell r="F326">
            <v>76.5</v>
          </cell>
          <cell r="G326">
            <v>35.092100000000002</v>
          </cell>
          <cell r="H326">
            <v>107295.63</v>
          </cell>
        </row>
        <row r="327">
          <cell r="B327" t="str">
            <v>ROKU UQ</v>
          </cell>
          <cell r="C327" t="str">
            <v>ROKU INC</v>
          </cell>
          <cell r="D327">
            <v>152.38999999999999</v>
          </cell>
          <cell r="E327">
            <v>151.26</v>
          </cell>
          <cell r="F327">
            <v>151.26</v>
          </cell>
          <cell r="G327">
            <v>41.922800000000002</v>
          </cell>
          <cell r="H327">
            <v>22631.54</v>
          </cell>
        </row>
        <row r="328">
          <cell r="B328" t="str">
            <v>CSCO UQ</v>
          </cell>
          <cell r="C328" t="str">
            <v>CISCO SYSTEMS INC</v>
          </cell>
          <cell r="D328">
            <v>112.2</v>
          </cell>
          <cell r="E328">
            <v>110</v>
          </cell>
          <cell r="F328">
            <v>108.76</v>
          </cell>
          <cell r="G328">
            <v>37.713999999999999</v>
          </cell>
          <cell r="H328">
            <v>442358.25</v>
          </cell>
        </row>
        <row r="329">
          <cell r="B329" t="str">
            <v>BNTX UQ</v>
          </cell>
          <cell r="C329" t="str">
            <v>BIONTECH SE-ADR</v>
          </cell>
          <cell r="D329">
            <v>96.9</v>
          </cell>
          <cell r="E329">
            <v>97.35</v>
          </cell>
          <cell r="F329">
            <v>96.85</v>
          </cell>
          <cell r="G329">
            <v>49.395499999999998</v>
          </cell>
          <cell r="H329">
            <v>24341.7</v>
          </cell>
        </row>
        <row r="330">
          <cell r="B330" t="str">
            <v>DDOG UQ</v>
          </cell>
          <cell r="C330" t="str">
            <v>DATADOG INC - CLASS A</v>
          </cell>
          <cell r="D330">
            <v>277.22000000000003</v>
          </cell>
          <cell r="E330">
            <v>280.31</v>
          </cell>
          <cell r="F330">
            <v>276.45999999999998</v>
          </cell>
          <cell r="G330">
            <v>70.210700000000003</v>
          </cell>
          <cell r="H330">
            <v>99818.880000000005</v>
          </cell>
        </row>
        <row r="331">
          <cell r="B331" t="str">
            <v>EBAY UQ</v>
          </cell>
          <cell r="C331" t="str">
            <v>EBAY INC</v>
          </cell>
          <cell r="D331">
            <v>106.4</v>
          </cell>
          <cell r="E331">
            <v>106.82</v>
          </cell>
          <cell r="F331">
            <v>105.89</v>
          </cell>
          <cell r="G331">
            <v>33.829599999999999</v>
          </cell>
          <cell r="H331">
            <v>47348</v>
          </cell>
        </row>
        <row r="332">
          <cell r="B332" t="str">
            <v>MAR UQ</v>
          </cell>
          <cell r="C332" t="str">
            <v>MARRIOTT INTERNATIONAL -CL A</v>
          </cell>
          <cell r="D332">
            <v>358.96</v>
          </cell>
          <cell r="E332">
            <v>359.32</v>
          </cell>
          <cell r="F332">
            <v>354.79</v>
          </cell>
          <cell r="G332">
            <v>27.459299999999999</v>
          </cell>
          <cell r="H332">
            <v>93604.67</v>
          </cell>
        </row>
        <row r="333">
          <cell r="B333" t="str">
            <v>MRNA UQ</v>
          </cell>
          <cell r="C333" t="str">
            <v>MODERNA INC</v>
          </cell>
          <cell r="D333">
            <v>190.01</v>
          </cell>
          <cell r="E333">
            <v>189.7</v>
          </cell>
          <cell r="F333">
            <v>188.94</v>
          </cell>
          <cell r="G333">
            <v>141.45189999999999</v>
          </cell>
          <cell r="H333">
            <v>75858.81</v>
          </cell>
        </row>
        <row r="334">
          <cell r="B334" t="str">
            <v>NVCR UQ</v>
          </cell>
          <cell r="C334" t="str">
            <v>NOVOCURE LTD</v>
          </cell>
          <cell r="D334">
            <v>14.94</v>
          </cell>
          <cell r="E334">
            <v>16.239999999999998</v>
          </cell>
          <cell r="F334">
            <v>15.92</v>
          </cell>
          <cell r="G334">
            <v>83.7209</v>
          </cell>
          <cell r="H334">
            <v>1739.7</v>
          </cell>
        </row>
        <row r="335">
          <cell r="B335" t="str">
            <v>STX UQ</v>
          </cell>
          <cell r="C335" t="str">
            <v>SEAGATE TECHNOLOGY HOLDINGS</v>
          </cell>
          <cell r="D335">
            <v>848.99</v>
          </cell>
          <cell r="E335">
            <v>815</v>
          </cell>
          <cell r="F335">
            <v>945.57</v>
          </cell>
          <cell r="G335">
            <v>76.622</v>
          </cell>
          <cell r="H335">
            <v>192418.93</v>
          </cell>
        </row>
        <row r="336">
          <cell r="B336" t="str">
            <v>UNCY UQ</v>
          </cell>
          <cell r="C336" t="str">
            <v>UNICYCIVE THERAPEUTICS INC</v>
          </cell>
          <cell r="D336">
            <v>4.22</v>
          </cell>
          <cell r="E336">
            <v>4.62</v>
          </cell>
          <cell r="F336">
            <v>4.55</v>
          </cell>
          <cell r="G336">
            <v>89.400099999999995</v>
          </cell>
          <cell r="H336">
            <v>117.55</v>
          </cell>
        </row>
        <row r="337">
          <cell r="B337" t="str">
            <v>ZM UQ</v>
          </cell>
          <cell r="C337" t="str">
            <v>ZOOM COMMUNICATIONS INC</v>
          </cell>
          <cell r="D337">
            <v>92.88</v>
          </cell>
          <cell r="E337">
            <v>94.69</v>
          </cell>
          <cell r="F337">
            <v>93.8</v>
          </cell>
          <cell r="G337">
            <v>47.095599999999997</v>
          </cell>
          <cell r="H337">
            <v>27114.48</v>
          </cell>
        </row>
        <row r="338">
          <cell r="B338" t="str">
            <v>BYND UQ</v>
          </cell>
          <cell r="C338" t="str">
            <v>BEYOND MEAT INC</v>
          </cell>
          <cell r="D338">
            <v>8.25</v>
          </cell>
          <cell r="E338">
            <v>8.26</v>
          </cell>
          <cell r="F338">
            <v>8.26</v>
          </cell>
          <cell r="G338">
            <v>101.8946</v>
          </cell>
          <cell r="H338">
            <v>141.85</v>
          </cell>
        </row>
        <row r="339">
          <cell r="B339" t="str">
            <v>NVAX UQ</v>
          </cell>
          <cell r="C339" t="str">
            <v>NOVAVAX INC</v>
          </cell>
          <cell r="D339">
            <v>10.46</v>
          </cell>
          <cell r="E339">
            <v>10.8</v>
          </cell>
          <cell r="F339">
            <v>10.6</v>
          </cell>
          <cell r="G339">
            <v>66.917900000000003</v>
          </cell>
          <cell r="H339">
            <v>1725.33</v>
          </cell>
        </row>
        <row r="340">
          <cell r="B340" t="str">
            <v>AFRM UQ</v>
          </cell>
          <cell r="C340" t="str">
            <v>AFFIRM HOLDINGS INC</v>
          </cell>
          <cell r="D340">
            <v>70.77</v>
          </cell>
          <cell r="E340">
            <v>72</v>
          </cell>
          <cell r="F340">
            <v>70.430000000000007</v>
          </cell>
          <cell r="G340">
            <v>58.481099999999998</v>
          </cell>
          <cell r="H340">
            <v>23895.94</v>
          </cell>
        </row>
        <row r="341">
          <cell r="B341" t="str">
            <v>SNY UQ</v>
          </cell>
          <cell r="C341" t="str">
            <v>SANOFI-ADR</v>
          </cell>
          <cell r="D341">
            <v>39.92</v>
          </cell>
          <cell r="E341">
            <v>39.58</v>
          </cell>
          <cell r="F341">
            <v>40.67</v>
          </cell>
          <cell r="G341">
            <v>24.1524</v>
          </cell>
          <cell r="H341">
            <v>96428.63</v>
          </cell>
        </row>
        <row r="342">
          <cell r="B342" t="str">
            <v>ALGN UQ</v>
          </cell>
          <cell r="C342" t="str">
            <v>ALIGN TECHNOLOGY INC</v>
          </cell>
          <cell r="D342">
            <v>143.74</v>
          </cell>
          <cell r="E342">
            <v>147.09</v>
          </cell>
          <cell r="F342">
            <v>145.345</v>
          </cell>
          <cell r="G342">
            <v>41.305900000000001</v>
          </cell>
          <cell r="H342">
            <v>10211.27</v>
          </cell>
        </row>
        <row r="343">
          <cell r="B343" t="str">
            <v>ULTA UQ</v>
          </cell>
          <cell r="C343" t="str">
            <v>ULTA BEAUTY INC</v>
          </cell>
          <cell r="D343">
            <v>543.69000000000005</v>
          </cell>
          <cell r="E343">
            <v>537.74</v>
          </cell>
          <cell r="F343">
            <v>537.73</v>
          </cell>
          <cell r="G343">
            <v>35.551699999999997</v>
          </cell>
          <cell r="H343">
            <v>23246.81</v>
          </cell>
        </row>
        <row r="344">
          <cell r="B344" t="str">
            <v>BMRN UQ</v>
          </cell>
          <cell r="C344" t="str">
            <v>BIOMARIN PHARMACEUTICAL INC</v>
          </cell>
          <cell r="D344">
            <v>57.18</v>
          </cell>
          <cell r="E344">
            <v>58.52</v>
          </cell>
          <cell r="F344">
            <v>58.44</v>
          </cell>
          <cell r="G344">
            <v>36.721600000000002</v>
          </cell>
          <cell r="H344">
            <v>11068.55</v>
          </cell>
        </row>
        <row r="345">
          <cell r="B345" t="str">
            <v>MSTR UQ</v>
          </cell>
          <cell r="C345" t="str">
            <v>STRATEGY INC</v>
          </cell>
          <cell r="D345">
            <v>160.01</v>
          </cell>
          <cell r="E345">
            <v>165.85</v>
          </cell>
          <cell r="F345">
            <v>160.5</v>
          </cell>
          <cell r="G345">
            <v>84.540599999999998</v>
          </cell>
          <cell r="H345">
            <v>61479.96</v>
          </cell>
        </row>
        <row r="346">
          <cell r="B346" t="str">
            <v>PLTR UQ</v>
          </cell>
          <cell r="C346" t="str">
            <v>PALANTIR TECHNOLOGIES INC-A</v>
          </cell>
          <cell r="D346">
            <v>188.75</v>
          </cell>
          <cell r="E346">
            <v>193.22</v>
          </cell>
          <cell r="F346">
            <v>190.04</v>
          </cell>
          <cell r="G346">
            <v>61.774999999999999</v>
          </cell>
          <cell r="H346">
            <v>453577.29</v>
          </cell>
        </row>
        <row r="347">
          <cell r="B347" t="str">
            <v>NEE UN</v>
          </cell>
          <cell r="C347" t="str">
            <v>NEXTERA ENERGY INC</v>
          </cell>
          <cell r="D347">
            <v>76.83</v>
          </cell>
          <cell r="E347">
            <v>76.709999999999994</v>
          </cell>
          <cell r="F347">
            <v>76.349999999999994</v>
          </cell>
          <cell r="G347">
            <v>21.254000000000001</v>
          </cell>
          <cell r="H347">
            <v>160265.71</v>
          </cell>
        </row>
        <row r="348">
          <cell r="B348" t="str">
            <v>CEG UQ</v>
          </cell>
          <cell r="C348" t="str">
            <v>CONSTELLATION ENERGY</v>
          </cell>
          <cell r="D348">
            <v>257.49</v>
          </cell>
          <cell r="E348">
            <v>263.37</v>
          </cell>
          <cell r="F348">
            <v>258.92</v>
          </cell>
          <cell r="G348">
            <v>47.853299999999997</v>
          </cell>
          <cell r="H348">
            <v>91230.61</v>
          </cell>
        </row>
        <row r="349">
          <cell r="B349" t="str">
            <v>8136 JT</v>
          </cell>
          <cell r="C349" t="str">
            <v>SANRIO CO LTD</v>
          </cell>
          <cell r="D349">
            <v>1181</v>
          </cell>
          <cell r="E349">
            <v>1189.5</v>
          </cell>
          <cell r="F349">
            <v>1191.5</v>
          </cell>
          <cell r="G349">
            <v>55.598199999999999</v>
          </cell>
          <cell r="H349">
            <v>1508186.03</v>
          </cell>
        </row>
        <row r="350">
          <cell r="B350" t="str">
            <v>981 HK</v>
          </cell>
          <cell r="C350" t="str">
            <v>SEMICONDUCTOR MANUFACTURI-H</v>
          </cell>
          <cell r="D350">
            <v>60.25</v>
          </cell>
          <cell r="E350">
            <v>60.3</v>
          </cell>
          <cell r="F350">
            <v>60.65</v>
          </cell>
          <cell r="G350">
            <v>57.837400000000002</v>
          </cell>
          <cell r="H350">
            <v>696241.4</v>
          </cell>
        </row>
        <row r="351">
          <cell r="B351" t="str">
            <v>GLD UP</v>
          </cell>
          <cell r="C351" t="str">
            <v>SPDR GOLD SHARES</v>
          </cell>
          <cell r="D351">
            <v>380.14</v>
          </cell>
          <cell r="E351">
            <v>384.38</v>
          </cell>
          <cell r="F351">
            <v>382.76</v>
          </cell>
          <cell r="G351">
            <v>31.540500000000002</v>
          </cell>
          <cell r="H351">
            <v>140689.81</v>
          </cell>
        </row>
        <row r="352">
          <cell r="B352" t="str">
            <v>ONTO UN</v>
          </cell>
          <cell r="C352" t="str">
            <v>ONTO INNOVATION INC</v>
          </cell>
          <cell r="D352">
            <v>327.77</v>
          </cell>
          <cell r="E352">
            <v>328.89</v>
          </cell>
          <cell r="F352">
            <v>314.88</v>
          </cell>
          <cell r="G352">
            <v>75.711600000000004</v>
          </cell>
          <cell r="H352">
            <v>16085.07</v>
          </cell>
        </row>
        <row r="353">
          <cell r="B353" t="str">
            <v>1299 HK</v>
          </cell>
          <cell r="C353" t="str">
            <v>AIA GROUP LTD</v>
          </cell>
          <cell r="D353">
            <v>69.2</v>
          </cell>
          <cell r="E353">
            <v>70.5</v>
          </cell>
          <cell r="F353">
            <v>73.599999999999994</v>
          </cell>
          <cell r="G353">
            <v>33.845599999999997</v>
          </cell>
          <cell r="H353">
            <v>715987.83</v>
          </cell>
        </row>
        <row r="354">
          <cell r="B354" t="str">
            <v>9999 HK</v>
          </cell>
          <cell r="C354" t="str">
            <v>NETEASE INC</v>
          </cell>
          <cell r="D354">
            <v>186.2</v>
          </cell>
          <cell r="E354">
            <v>187.7</v>
          </cell>
          <cell r="F354">
            <v>192.6</v>
          </cell>
          <cell r="G354">
            <v>35.290500000000002</v>
          </cell>
          <cell r="H354">
            <v>596147.63</v>
          </cell>
        </row>
        <row r="355">
          <cell r="B355" t="str">
            <v>HOOD UW</v>
          </cell>
          <cell r="C355" t="str">
            <v>ROBINHOOD MARKETS INC - A</v>
          </cell>
          <cell r="D355">
            <v>112.74</v>
          </cell>
          <cell r="E355">
            <v>113.5</v>
          </cell>
          <cell r="F355">
            <v>111.15</v>
          </cell>
          <cell r="G355">
            <v>71.718299999999999</v>
          </cell>
          <cell r="H355">
            <v>101508.37</v>
          </cell>
        </row>
        <row r="356">
          <cell r="B356" t="str">
            <v>SONY UN</v>
          </cell>
          <cell r="C356" t="str">
            <v>SONY GROUP CORP - SP ADR</v>
          </cell>
          <cell r="D356">
            <v>23.82</v>
          </cell>
          <cell r="E356">
            <v>23.86</v>
          </cell>
          <cell r="F356">
            <v>23.49</v>
          </cell>
          <cell r="G356">
            <v>30.161300000000001</v>
          </cell>
          <cell r="H356">
            <v>142093.82999999999</v>
          </cell>
        </row>
        <row r="357">
          <cell r="B357" t="str">
            <v>TSN UN</v>
          </cell>
          <cell r="C357" t="str">
            <v>TYSON FOODS INC-CL A</v>
          </cell>
          <cell r="D357">
            <v>51.89</v>
          </cell>
          <cell r="E357">
            <v>50.46</v>
          </cell>
          <cell r="F357">
            <v>50.47</v>
          </cell>
          <cell r="G357">
            <v>26.945</v>
          </cell>
          <cell r="H357">
            <v>18254.98</v>
          </cell>
        </row>
        <row r="358">
          <cell r="B358" t="str">
            <v>9142 JT</v>
          </cell>
          <cell r="C358" t="str">
            <v>KYUSHU RAILWAY COMPANY</v>
          </cell>
          <cell r="D358">
            <v>3349</v>
          </cell>
          <cell r="E358">
            <v>3385</v>
          </cell>
          <cell r="F358">
            <v>3410</v>
          </cell>
          <cell r="G358">
            <v>18.394200000000001</v>
          </cell>
          <cell r="H358">
            <v>517919.5</v>
          </cell>
        </row>
        <row r="359">
          <cell r="B359" t="str">
            <v>IBM UN</v>
          </cell>
          <cell r="C359" t="str">
            <v>INTL BUSINESS MACHINES CORP</v>
          </cell>
          <cell r="D359">
            <v>222.64</v>
          </cell>
          <cell r="E359">
            <v>225.51</v>
          </cell>
          <cell r="F359">
            <v>225.62</v>
          </cell>
          <cell r="G359">
            <v>56.199300000000001</v>
          </cell>
          <cell r="H359">
            <v>209756.79999999999</v>
          </cell>
        </row>
        <row r="360">
          <cell r="B360" t="str">
            <v>TEM UQ</v>
          </cell>
          <cell r="C360" t="str">
            <v>TEMPUS AI INC-CL A</v>
          </cell>
          <cell r="D360">
            <v>76.63</v>
          </cell>
          <cell r="E360">
            <v>77.36</v>
          </cell>
          <cell r="F360">
            <v>76.5</v>
          </cell>
          <cell r="G360">
            <v>75.620599999999996</v>
          </cell>
          <cell r="H360">
            <v>13826.72</v>
          </cell>
        </row>
        <row r="361">
          <cell r="B361" t="str">
            <v>2801 JT</v>
          </cell>
          <cell r="C361" t="str">
            <v>KIKKOMAN CORP</v>
          </cell>
          <cell r="D361">
            <v>1647.5</v>
          </cell>
          <cell r="E361">
            <v>1650</v>
          </cell>
          <cell r="F361">
            <v>1660.5</v>
          </cell>
          <cell r="G361">
            <v>32.195799999999998</v>
          </cell>
          <cell r="H361">
            <v>1597112.88</v>
          </cell>
        </row>
        <row r="362">
          <cell r="B362" t="str">
            <v>TTD UN</v>
          </cell>
          <cell r="C362" t="str">
            <v>TRADE DESK INC/THE -CLASS A</v>
          </cell>
          <cell r="D362">
            <v>11.94</v>
          </cell>
          <cell r="E362">
            <v>12.02</v>
          </cell>
          <cell r="F362">
            <v>12.09</v>
          </cell>
          <cell r="G362">
            <v>61.785200000000003</v>
          </cell>
          <cell r="H362">
            <v>5610.37</v>
          </cell>
        </row>
        <row r="363">
          <cell r="B363" t="str">
            <v>MELI UW</v>
          </cell>
          <cell r="C363" t="str">
            <v>MERCADOLIBRE INC</v>
          </cell>
          <cell r="D363">
            <v>1696.56</v>
          </cell>
          <cell r="E363">
            <v>1695.34</v>
          </cell>
          <cell r="F363">
            <v>1685.12</v>
          </cell>
          <cell r="G363">
            <v>40.224499999999999</v>
          </cell>
          <cell r="H363">
            <v>86010.17</v>
          </cell>
        </row>
        <row r="364">
          <cell r="B364" t="str">
            <v>TLT UQ</v>
          </cell>
          <cell r="C364" t="str">
            <v>ISHARES 20+ YEAR TREASURY BD</v>
          </cell>
          <cell r="D364">
            <v>77.48</v>
          </cell>
          <cell r="E364">
            <v>77.95</v>
          </cell>
          <cell r="F364">
            <v>77.709999999999994</v>
          </cell>
          <cell r="G364">
            <v>9.9094999999999995</v>
          </cell>
          <cell r="H364">
            <v>47231.81</v>
          </cell>
        </row>
        <row r="365">
          <cell r="B365" t="str">
            <v>APP UW</v>
          </cell>
          <cell r="C365" t="str">
            <v>APPLOVIN CORP-CLASS A</v>
          </cell>
          <cell r="D365">
            <v>268.22000000000003</v>
          </cell>
          <cell r="E365">
            <v>270</v>
          </cell>
          <cell r="F365">
            <v>281.31</v>
          </cell>
          <cell r="G365">
            <v>79.415800000000004</v>
          </cell>
          <cell r="H365">
            <v>89760.09</v>
          </cell>
        </row>
        <row r="366">
          <cell r="B366" t="str">
            <v>4755 JT</v>
          </cell>
          <cell r="C366" t="str">
            <v>RAKUTEN GROUP INC</v>
          </cell>
          <cell r="D366">
            <v>662.1</v>
          </cell>
          <cell r="E366">
            <v>673.4</v>
          </cell>
          <cell r="F366">
            <v>681.7</v>
          </cell>
          <cell r="G366">
            <v>37.330599999999997</v>
          </cell>
          <cell r="H366">
            <v>1445942.98</v>
          </cell>
        </row>
        <row r="367">
          <cell r="B367" t="str">
            <v>4502 JT</v>
          </cell>
          <cell r="C367" t="str">
            <v>TAKEDA PHARMACEUTICAL CO LTD</v>
          </cell>
          <cell r="D367">
            <v>5643</v>
          </cell>
          <cell r="E367">
            <v>5652</v>
          </cell>
          <cell r="F367">
            <v>5731</v>
          </cell>
          <cell r="G367">
            <v>23.878799999999998</v>
          </cell>
          <cell r="H367">
            <v>9040883.6899999995</v>
          </cell>
        </row>
        <row r="368">
          <cell r="B368" t="str">
            <v>9107 JT</v>
          </cell>
          <cell r="C368" t="str">
            <v>KAWASAKI KISEN KAISHA LTD</v>
          </cell>
          <cell r="D368">
            <v>3264</v>
          </cell>
          <cell r="E368">
            <v>3235</v>
          </cell>
          <cell r="F368">
            <v>3264</v>
          </cell>
          <cell r="G368">
            <v>34.312100000000001</v>
          </cell>
          <cell r="H368">
            <v>1941241.37</v>
          </cell>
        </row>
        <row r="369">
          <cell r="B369" t="str">
            <v>XYZ UN</v>
          </cell>
          <cell r="C369" t="str">
            <v>BLOCK INC</v>
          </cell>
          <cell r="D369">
            <v>74.33</v>
          </cell>
          <cell r="E369">
            <v>75.61</v>
          </cell>
          <cell r="F369">
            <v>74.040000000000006</v>
          </cell>
          <cell r="G369">
            <v>47.2089</v>
          </cell>
          <cell r="H369">
            <v>44657.09</v>
          </cell>
        </row>
        <row r="370">
          <cell r="B370" t="str">
            <v>FTNT UW</v>
          </cell>
          <cell r="C370" t="str">
            <v>FORTINET INC</v>
          </cell>
          <cell r="D370">
            <v>180.95</v>
          </cell>
          <cell r="E370">
            <v>181.36</v>
          </cell>
          <cell r="F370">
            <v>178.72</v>
          </cell>
          <cell r="G370">
            <v>44.915700000000001</v>
          </cell>
          <cell r="H370">
            <v>132764.95000000001</v>
          </cell>
        </row>
        <row r="371">
          <cell r="B371" t="str">
            <v>DOW UN</v>
          </cell>
          <cell r="C371" t="str">
            <v>DOW INC</v>
          </cell>
          <cell r="D371">
            <v>27.97</v>
          </cell>
          <cell r="E371">
            <v>27.46</v>
          </cell>
          <cell r="F371">
            <v>27.59</v>
          </cell>
          <cell r="G371">
            <v>43.073700000000002</v>
          </cell>
          <cell r="H371">
            <v>20203.87</v>
          </cell>
        </row>
        <row r="372">
          <cell r="B372" t="str">
            <v>4452 JT</v>
          </cell>
          <cell r="C372" t="str">
            <v>KAO CORP</v>
          </cell>
          <cell r="D372">
            <v>3439</v>
          </cell>
          <cell r="E372">
            <v>3440</v>
          </cell>
          <cell r="F372">
            <v>3482</v>
          </cell>
          <cell r="G372">
            <v>25.624700000000001</v>
          </cell>
          <cell r="H372">
            <v>3119860.8</v>
          </cell>
        </row>
        <row r="373">
          <cell r="B373" t="str">
            <v>2503 JT</v>
          </cell>
          <cell r="C373" t="str">
            <v>KIRIN HOLDINGS CO LTD</v>
          </cell>
          <cell r="D373">
            <v>2805</v>
          </cell>
          <cell r="E373">
            <v>2806</v>
          </cell>
          <cell r="F373">
            <v>2844.5</v>
          </cell>
          <cell r="G373">
            <v>26.151</v>
          </cell>
          <cell r="H373">
            <v>2288880</v>
          </cell>
        </row>
        <row r="374">
          <cell r="B374" t="str">
            <v>9202 JT</v>
          </cell>
          <cell r="C374" t="str">
            <v>ANA HOLDINGS INC</v>
          </cell>
          <cell r="D374">
            <v>2943</v>
          </cell>
          <cell r="E374">
            <v>2930</v>
          </cell>
          <cell r="F374">
            <v>2971</v>
          </cell>
          <cell r="G374">
            <v>26.4071</v>
          </cell>
          <cell r="H374">
            <v>1425275.95</v>
          </cell>
        </row>
        <row r="375">
          <cell r="B375" t="str">
            <v>OKLO UN</v>
          </cell>
          <cell r="C375" t="str">
            <v>OKLO INC</v>
          </cell>
          <cell r="D375">
            <v>35.869999999999997</v>
          </cell>
          <cell r="E375">
            <v>37.28</v>
          </cell>
          <cell r="F375">
            <v>36.14</v>
          </cell>
          <cell r="G375">
            <v>91.505300000000005</v>
          </cell>
          <cell r="H375">
            <v>6672.45</v>
          </cell>
        </row>
        <row r="376">
          <cell r="B376" t="str">
            <v>RKLB UN</v>
          </cell>
          <cell r="C376" t="str">
            <v>ROCKET LAB CORP</v>
          </cell>
          <cell r="D376">
            <v>73.91</v>
          </cell>
          <cell r="E376">
            <v>71.965000000000003</v>
          </cell>
          <cell r="F376">
            <v>70.47</v>
          </cell>
          <cell r="G376">
            <v>95.725300000000004</v>
          </cell>
          <cell r="H376">
            <v>47250.79</v>
          </cell>
        </row>
        <row r="377">
          <cell r="B377" t="str">
            <v>HIMS UN</v>
          </cell>
          <cell r="C377" t="str">
            <v>HIMS &amp; HERS HEALTH INC</v>
          </cell>
          <cell r="D377">
            <v>29</v>
          </cell>
          <cell r="E377">
            <v>29.99</v>
          </cell>
          <cell r="F377">
            <v>29.3</v>
          </cell>
          <cell r="G377">
            <v>93.246799999999993</v>
          </cell>
          <cell r="H377">
            <v>6766.09</v>
          </cell>
        </row>
        <row r="378">
          <cell r="B378" t="str">
            <v>CRWV UW</v>
          </cell>
          <cell r="C378" t="str">
            <v>COREWEAVE INC-CL A</v>
          </cell>
          <cell r="D378">
            <v>89.62</v>
          </cell>
          <cell r="E378">
            <v>91</v>
          </cell>
          <cell r="F378">
            <v>88.57</v>
          </cell>
          <cell r="G378">
            <v>97.328800000000001</v>
          </cell>
          <cell r="H378">
            <v>50085.88</v>
          </cell>
        </row>
        <row r="379">
          <cell r="B379" t="str">
            <v>5801 JT</v>
          </cell>
          <cell r="C379" t="str">
            <v>FURUKAWA ELECTRIC CO LTD</v>
          </cell>
          <cell r="D379">
            <v>4429</v>
          </cell>
          <cell r="E379">
            <v>4152</v>
          </cell>
          <cell r="F379">
            <v>4113</v>
          </cell>
          <cell r="G379">
            <v>94.720100000000002</v>
          </cell>
          <cell r="H379">
            <v>3129837.75</v>
          </cell>
        </row>
        <row r="380">
          <cell r="B380" t="str">
            <v>ONON UN</v>
          </cell>
          <cell r="C380" t="str">
            <v>ON HOLDING AG-CLASS A</v>
          </cell>
          <cell r="D380">
            <v>30.85</v>
          </cell>
          <cell r="E380">
            <v>30.25</v>
          </cell>
          <cell r="F380">
            <v>30.2</v>
          </cell>
          <cell r="G380">
            <v>49.926400000000001</v>
          </cell>
          <cell r="H380">
            <v>10310.52</v>
          </cell>
        </row>
        <row r="381">
          <cell r="B381" t="str">
            <v>CEG UW</v>
          </cell>
          <cell r="C381" t="str">
            <v>CONSTELLATION ENERGY</v>
          </cell>
          <cell r="D381">
            <v>257.49</v>
          </cell>
          <cell r="E381">
            <v>263.37</v>
          </cell>
          <cell r="F381">
            <v>258.92</v>
          </cell>
          <cell r="G381">
            <v>47.853299999999997</v>
          </cell>
          <cell r="H381">
            <v>91230.61</v>
          </cell>
        </row>
        <row r="382">
          <cell r="B382" t="str">
            <v>LEU UA</v>
          </cell>
          <cell r="C382" t="str">
            <v>CENTRUS ENERGY CORP-CLASS A</v>
          </cell>
          <cell r="D382">
            <v>142.22499999999999</v>
          </cell>
          <cell r="E382">
            <v>143.935</v>
          </cell>
          <cell r="F382">
            <v>138.94</v>
          </cell>
          <cell r="G382">
            <v>91.015199999999993</v>
          </cell>
          <cell r="H382">
            <v>2908.94</v>
          </cell>
        </row>
        <row r="383">
          <cell r="B383" t="str">
            <v>TER UW</v>
          </cell>
          <cell r="C383" t="str">
            <v>TERADYNE INC</v>
          </cell>
          <cell r="D383">
            <v>449.04</v>
          </cell>
          <cell r="E383">
            <v>428.49</v>
          </cell>
          <cell r="F383">
            <v>415.79</v>
          </cell>
          <cell r="G383">
            <v>81.281499999999994</v>
          </cell>
          <cell r="H383">
            <v>70203.25</v>
          </cell>
        </row>
        <row r="384">
          <cell r="B384" t="str">
            <v>5803 JT</v>
          </cell>
          <cell r="C384" t="str">
            <v>FUJIKURA LTD</v>
          </cell>
          <cell r="D384">
            <v>5598</v>
          </cell>
          <cell r="E384">
            <v>5450</v>
          </cell>
          <cell r="F384">
            <v>5368</v>
          </cell>
          <cell r="G384">
            <v>89.868899999999996</v>
          </cell>
          <cell r="H384">
            <v>9937460.5800000001</v>
          </cell>
        </row>
        <row r="385">
          <cell r="B385" t="str">
            <v>DUOL UW</v>
          </cell>
          <cell r="C385" t="str">
            <v>DUOLINGO</v>
          </cell>
          <cell r="D385">
            <v>144.27000000000001</v>
          </cell>
          <cell r="E385">
            <v>146</v>
          </cell>
          <cell r="F385">
            <v>146.57</v>
          </cell>
          <cell r="G385">
            <v>61.156399999999998</v>
          </cell>
          <cell r="H385">
            <v>6743.62</v>
          </cell>
        </row>
        <row r="386">
          <cell r="B386" t="str">
            <v>RKLB UQ</v>
          </cell>
          <cell r="C386" t="str">
            <v>ROCKET LAB CORP</v>
          </cell>
          <cell r="D386">
            <v>73.92</v>
          </cell>
          <cell r="E386">
            <v>72.010000000000005</v>
          </cell>
          <cell r="F386">
            <v>70.459999999999994</v>
          </cell>
          <cell r="G386">
            <v>95.774600000000007</v>
          </cell>
          <cell r="H386">
            <v>47257.18</v>
          </cell>
        </row>
        <row r="387">
          <cell r="B387" t="str">
            <v>6098 JT</v>
          </cell>
          <cell r="C387" t="str">
            <v>RECRUIT HOLDINGS CO LTD</v>
          </cell>
          <cell r="D387">
            <v>16685</v>
          </cell>
          <cell r="E387">
            <v>16425</v>
          </cell>
          <cell r="F387">
            <v>16755</v>
          </cell>
          <cell r="G387">
            <v>53.407800000000002</v>
          </cell>
          <cell r="H387">
            <v>24568731.73</v>
          </cell>
        </row>
        <row r="388">
          <cell r="B388" t="str">
            <v>7013 JT</v>
          </cell>
          <cell r="C388" t="str">
            <v>IHI CORP</v>
          </cell>
          <cell r="D388">
            <v>2707.5</v>
          </cell>
          <cell r="E388">
            <v>2710</v>
          </cell>
          <cell r="F388">
            <v>2711.5</v>
          </cell>
          <cell r="G388">
            <v>51.502200000000002</v>
          </cell>
          <cell r="H388">
            <v>2931571.83</v>
          </cell>
        </row>
        <row r="389">
          <cell r="B389" t="str">
            <v>3993 JT</v>
          </cell>
          <cell r="C389" t="str">
            <v>PKSHA TECHNOLOGY INC</v>
          </cell>
          <cell r="D389">
            <v>3270</v>
          </cell>
          <cell r="E389">
            <v>3255</v>
          </cell>
          <cell r="F389">
            <v>3245</v>
          </cell>
          <cell r="G389">
            <v>52.3461</v>
          </cell>
          <cell r="H389">
            <v>104469.96</v>
          </cell>
        </row>
        <row r="390">
          <cell r="B390" t="str">
            <v>3110 JT</v>
          </cell>
          <cell r="C390" t="str">
            <v>NITTO BOSEKI CO LTD</v>
          </cell>
          <cell r="D390">
            <v>3370</v>
          </cell>
          <cell r="E390">
            <v>3340</v>
          </cell>
          <cell r="F390">
            <v>3335</v>
          </cell>
          <cell r="G390">
            <v>93.909099999999995</v>
          </cell>
          <cell r="H390">
            <v>635632.75</v>
          </cell>
        </row>
        <row r="391">
          <cell r="B391" t="str">
            <v>GIS UN</v>
          </cell>
          <cell r="C391" t="str">
            <v>GENERAL MILLS INC</v>
          </cell>
          <cell r="D391">
            <v>32.01</v>
          </cell>
          <cell r="E391">
            <v>31.72</v>
          </cell>
          <cell r="F391">
            <v>31.67</v>
          </cell>
          <cell r="G391">
            <v>31.072600000000001</v>
          </cell>
          <cell r="H391">
            <v>17115.34</v>
          </cell>
        </row>
        <row r="392">
          <cell r="B392" t="str">
            <v>OSCR UN</v>
          </cell>
          <cell r="C392" t="str">
            <v>OSCAR HEALTH INC - CLASS A</v>
          </cell>
          <cell r="D392">
            <v>30.94</v>
          </cell>
          <cell r="E392">
            <v>29.82</v>
          </cell>
          <cell r="F392">
            <v>29.9</v>
          </cell>
          <cell r="G392">
            <v>61.878100000000003</v>
          </cell>
          <cell r="H392">
            <v>9549.48</v>
          </cell>
        </row>
        <row r="393">
          <cell r="B393" t="str">
            <v>TTD UQ</v>
          </cell>
          <cell r="C393" t="str">
            <v>TRADE DESK INC/THE -CLASS A</v>
          </cell>
          <cell r="D393">
            <v>11.95</v>
          </cell>
          <cell r="E393">
            <v>12.1</v>
          </cell>
          <cell r="F393">
            <v>12.1</v>
          </cell>
          <cell r="G393">
            <v>61.724699999999999</v>
          </cell>
          <cell r="H393">
            <v>5615.07</v>
          </cell>
        </row>
        <row r="394">
          <cell r="B394" t="str">
            <v>6526 JT</v>
          </cell>
          <cell r="C394" t="str">
            <v>SOCIONEXT INC</v>
          </cell>
          <cell r="D394">
            <v>2217</v>
          </cell>
          <cell r="E394">
            <v>2180.5</v>
          </cell>
          <cell r="F394">
            <v>2191</v>
          </cell>
          <cell r="G394">
            <v>62.787799999999997</v>
          </cell>
          <cell r="H394">
            <v>399100.86</v>
          </cell>
        </row>
        <row r="395">
          <cell r="B395" t="str">
            <v>LITE UW</v>
          </cell>
          <cell r="C395" t="str">
            <v>LUMENTUM HOLDINGS INC</v>
          </cell>
          <cell r="D395">
            <v>1085.42</v>
          </cell>
          <cell r="E395">
            <v>1051.19</v>
          </cell>
          <cell r="F395">
            <v>1045.78</v>
          </cell>
          <cell r="G395">
            <v>97.278800000000004</v>
          </cell>
          <cell r="H395">
            <v>97362.17</v>
          </cell>
        </row>
        <row r="396">
          <cell r="B396" t="str">
            <v>DHI UN</v>
          </cell>
          <cell r="C396" t="str">
            <v>DR HORTON INC</v>
          </cell>
          <cell r="D396">
            <v>135</v>
          </cell>
          <cell r="E396">
            <v>139.72999999999999</v>
          </cell>
          <cell r="F396">
            <v>137.06</v>
          </cell>
          <cell r="G396">
            <v>35.520699999999998</v>
          </cell>
          <cell r="H396">
            <v>37759.67</v>
          </cell>
        </row>
        <row r="397">
          <cell r="B397" t="str">
            <v>PG UN</v>
          </cell>
          <cell r="C397" t="str">
            <v>PROCTER &amp; GAMBLE CO/THE</v>
          </cell>
          <cell r="D397">
            <v>144.91</v>
          </cell>
          <cell r="E397">
            <v>144.26</v>
          </cell>
          <cell r="F397">
            <v>143.94999999999999</v>
          </cell>
          <cell r="G397">
            <v>20.497900000000001</v>
          </cell>
          <cell r="H397">
            <v>336578.44</v>
          </cell>
        </row>
        <row r="398">
          <cell r="B398" t="str">
            <v>GEV UN</v>
          </cell>
          <cell r="C398" t="str">
            <v>GE VERNOVA INC</v>
          </cell>
          <cell r="D398">
            <v>988.7</v>
          </cell>
          <cell r="E398">
            <v>1005</v>
          </cell>
          <cell r="F398">
            <v>987.45</v>
          </cell>
          <cell r="G398">
            <v>51.876600000000003</v>
          </cell>
          <cell r="H398">
            <v>263324.01</v>
          </cell>
        </row>
        <row r="399">
          <cell r="B399" t="str">
            <v>SMR UN</v>
          </cell>
          <cell r="C399" t="str">
            <v>NUSCALE POWER CORP</v>
          </cell>
          <cell r="D399">
            <v>7.75</v>
          </cell>
          <cell r="E399">
            <v>8.01</v>
          </cell>
          <cell r="F399">
            <v>7.79</v>
          </cell>
          <cell r="G399">
            <v>95.224699999999999</v>
          </cell>
          <cell r="H399">
            <v>3330.68</v>
          </cell>
        </row>
        <row r="400">
          <cell r="B400" t="str">
            <v>6723 JT</v>
          </cell>
          <cell r="C400" t="str">
            <v>RENESAS ELECTRONICS CORP</v>
          </cell>
          <cell r="D400">
            <v>3575</v>
          </cell>
          <cell r="E400">
            <v>3589</v>
          </cell>
          <cell r="F400">
            <v>3616</v>
          </cell>
          <cell r="G400">
            <v>67.7346</v>
          </cell>
          <cell r="H400">
            <v>6687448.21</v>
          </cell>
        </row>
        <row r="401">
          <cell r="B401" t="str">
            <v>5401 JT</v>
          </cell>
          <cell r="C401" t="str">
            <v>NIPPON STEEL CORP</v>
          </cell>
          <cell r="D401">
            <v>642.5</v>
          </cell>
          <cell r="E401">
            <v>648.5</v>
          </cell>
          <cell r="F401">
            <v>650</v>
          </cell>
          <cell r="G401">
            <v>28.122199999999999</v>
          </cell>
          <cell r="H401">
            <v>3452559.69</v>
          </cell>
        </row>
        <row r="402">
          <cell r="B402" t="str">
            <v>9434 JT</v>
          </cell>
          <cell r="C402" t="str">
            <v>SOFTBANK CORP</v>
          </cell>
          <cell r="D402">
            <v>237.4</v>
          </cell>
          <cell r="E402">
            <v>239.7</v>
          </cell>
          <cell r="F402">
            <v>240.8</v>
          </cell>
          <cell r="G402">
            <v>17.4986</v>
          </cell>
          <cell r="H402">
            <v>11407350.77</v>
          </cell>
        </row>
        <row r="403">
          <cell r="B403" t="str">
            <v>SNDK UW</v>
          </cell>
          <cell r="C403" t="str">
            <v>SANDISK CORP</v>
          </cell>
          <cell r="D403">
            <v>1719.99</v>
          </cell>
          <cell r="E403">
            <v>1774.23</v>
          </cell>
          <cell r="F403">
            <v>1787.69</v>
          </cell>
          <cell r="G403">
            <v>112.0061</v>
          </cell>
          <cell r="H403">
            <v>251839.22</v>
          </cell>
        </row>
        <row r="404">
          <cell r="B404" t="str">
            <v>SIL UP</v>
          </cell>
          <cell r="C404" t="str">
            <v>GLOBAL X SILVER MINERS ETF</v>
          </cell>
          <cell r="D404">
            <v>86.5</v>
          </cell>
          <cell r="E404">
            <v>87.17</v>
          </cell>
          <cell r="F404">
            <v>85.63</v>
          </cell>
          <cell r="G404">
            <v>58.221899999999998</v>
          </cell>
          <cell r="H404">
            <v>4425.97</v>
          </cell>
        </row>
        <row r="405">
          <cell r="B405" t="str">
            <v>RCL UN</v>
          </cell>
          <cell r="C405" t="str">
            <v>ROYAL CARIBBEAN CRUISES LTD</v>
          </cell>
          <cell r="D405">
            <v>277.74</v>
          </cell>
          <cell r="E405">
            <v>275.36</v>
          </cell>
          <cell r="F405">
            <v>269.99</v>
          </cell>
          <cell r="G405">
            <v>48.766800000000003</v>
          </cell>
          <cell r="H405">
            <v>74487.88</v>
          </cell>
        </row>
        <row r="406">
          <cell r="B406" t="str">
            <v>WMT UW</v>
          </cell>
          <cell r="C406" t="str">
            <v>WALMART INC</v>
          </cell>
          <cell r="D406">
            <v>104.26</v>
          </cell>
          <cell r="E406">
            <v>104.94</v>
          </cell>
          <cell r="F406">
            <v>104.26</v>
          </cell>
          <cell r="G406">
            <v>27.3614</v>
          </cell>
          <cell r="H406">
            <v>827172.38</v>
          </cell>
        </row>
        <row r="407">
          <cell r="B407" t="str">
            <v>6481 JT</v>
          </cell>
          <cell r="C407" t="str">
            <v>THK CO LTD</v>
          </cell>
          <cell r="D407">
            <v>6517</v>
          </cell>
          <cell r="E407">
            <v>6515</v>
          </cell>
          <cell r="F407">
            <v>6610</v>
          </cell>
          <cell r="G407">
            <v>54.394300000000001</v>
          </cell>
          <cell r="H407">
            <v>776173.42</v>
          </cell>
        </row>
        <row r="408">
          <cell r="B408" t="str">
            <v>CRWV UQ</v>
          </cell>
          <cell r="C408" t="str">
            <v>COREWEAVE INC-CL A</v>
          </cell>
          <cell r="D408">
            <v>89.62</v>
          </cell>
          <cell r="E408">
            <v>91</v>
          </cell>
          <cell r="F408">
            <v>88.57</v>
          </cell>
          <cell r="G408">
            <v>97.328800000000001</v>
          </cell>
          <cell r="H408">
            <v>50085.88</v>
          </cell>
        </row>
        <row r="409">
          <cell r="B409" t="str">
            <v>CRCL UN</v>
          </cell>
          <cell r="C409" t="str">
            <v>CIRCLE INTERNET GROUP INC</v>
          </cell>
          <cell r="D409">
            <v>81.25</v>
          </cell>
          <cell r="E409">
            <v>85.78</v>
          </cell>
          <cell r="F409">
            <v>82.91</v>
          </cell>
          <cell r="G409">
            <v>98.124300000000005</v>
          </cell>
          <cell r="H409">
            <v>20627.419999999998</v>
          </cell>
        </row>
        <row r="410">
          <cell r="B410" t="str">
            <v>RKLB UR</v>
          </cell>
          <cell r="C410" t="str">
            <v>ROCKET LAB CORP</v>
          </cell>
          <cell r="D410">
            <v>73.92</v>
          </cell>
          <cell r="E410">
            <v>72.010000000000005</v>
          </cell>
          <cell r="F410">
            <v>70.459999999999994</v>
          </cell>
          <cell r="G410">
            <v>95.774600000000007</v>
          </cell>
          <cell r="H410">
            <v>47257.18</v>
          </cell>
        </row>
        <row r="411">
          <cell r="B411" t="str">
            <v>LEU UN</v>
          </cell>
          <cell r="C411" t="str">
            <v>CENTRUS ENERGY CORP-CLASS A</v>
          </cell>
          <cell r="D411">
            <v>139.27000000000001</v>
          </cell>
          <cell r="E411">
            <v>144</v>
          </cell>
          <cell r="F411">
            <v>139.11000000000001</v>
          </cell>
          <cell r="G411">
            <v>88.786500000000004</v>
          </cell>
          <cell r="H411">
            <v>2848.5</v>
          </cell>
        </row>
        <row r="412">
          <cell r="B412" t="str">
            <v>2802 JT</v>
          </cell>
          <cell r="C412" t="str">
            <v>AJINOMOTO CO INC</v>
          </cell>
          <cell r="D412">
            <v>5212</v>
          </cell>
          <cell r="E412">
            <v>5200</v>
          </cell>
          <cell r="F412">
            <v>5260</v>
          </cell>
          <cell r="G412">
            <v>43.801099999999998</v>
          </cell>
          <cell r="H412">
            <v>5095958.03</v>
          </cell>
        </row>
        <row r="413">
          <cell r="B413" t="str">
            <v>BE UN</v>
          </cell>
          <cell r="C413" t="str">
            <v>BLOOM ENERGY CORP- A</v>
          </cell>
          <cell r="D413">
            <v>289.14999999999998</v>
          </cell>
          <cell r="E413">
            <v>283.83</v>
          </cell>
          <cell r="F413">
            <v>277.58</v>
          </cell>
          <cell r="G413">
            <v>110.22799999999999</v>
          </cell>
          <cell r="H413">
            <v>85162.58</v>
          </cell>
        </row>
        <row r="414">
          <cell r="B414" t="str">
            <v>8267 JT</v>
          </cell>
          <cell r="C414" t="str">
            <v>AEON CO LTD</v>
          </cell>
          <cell r="D414">
            <v>1230</v>
          </cell>
          <cell r="E414">
            <v>1247</v>
          </cell>
          <cell r="F414">
            <v>1250</v>
          </cell>
          <cell r="G414">
            <v>38.816800000000001</v>
          </cell>
          <cell r="H414">
            <v>3423740.7</v>
          </cell>
        </row>
        <row r="415">
          <cell r="B415" t="str">
            <v>7532 JT</v>
          </cell>
          <cell r="C415" t="str">
            <v>PAN PACIFIC INTERNATIONAL HO</v>
          </cell>
          <cell r="D415">
            <v>685</v>
          </cell>
          <cell r="E415">
            <v>700</v>
          </cell>
          <cell r="F415">
            <v>704.7</v>
          </cell>
          <cell r="G415">
            <v>32.7605</v>
          </cell>
          <cell r="H415">
            <v>2176448.2400000002</v>
          </cell>
        </row>
        <row r="416">
          <cell r="B416" t="str">
            <v>TM UN</v>
          </cell>
          <cell r="C416" t="str">
            <v>TOYOTA MOTOR CORP -SPON ADR</v>
          </cell>
          <cell r="D416">
            <v>181.49</v>
          </cell>
          <cell r="E416">
            <v>183.14</v>
          </cell>
          <cell r="F416">
            <v>183.34</v>
          </cell>
          <cell r="G416">
            <v>27.333400000000001</v>
          </cell>
          <cell r="H416">
            <v>264884.43</v>
          </cell>
        </row>
        <row r="417">
          <cell r="B417" t="str">
            <v>WDC UW</v>
          </cell>
          <cell r="C417" t="str">
            <v>WESTERN DIGITAL CORP</v>
          </cell>
          <cell r="D417">
            <v>415.29</v>
          </cell>
          <cell r="E417">
            <v>422</v>
          </cell>
          <cell r="F417">
            <v>462.56</v>
          </cell>
          <cell r="G417">
            <v>84.261799999999994</v>
          </cell>
          <cell r="H417">
            <v>143143.04000000001</v>
          </cell>
        </row>
        <row r="418">
          <cell r="B418" t="str">
            <v>8830 JT</v>
          </cell>
          <cell r="C418" t="str">
            <v>SUMITOMO REALTY &amp; DEVELOPMEN</v>
          </cell>
          <cell r="D418">
            <v>3089</v>
          </cell>
          <cell r="E418">
            <v>3158</v>
          </cell>
          <cell r="F418">
            <v>3180</v>
          </cell>
          <cell r="G418">
            <v>37.316600000000001</v>
          </cell>
          <cell r="H418">
            <v>2891304</v>
          </cell>
        </row>
        <row r="419">
          <cell r="B419" t="str">
            <v>GS UN</v>
          </cell>
          <cell r="C419" t="str">
            <v>GOLDMAN SACHS GROUP INC</v>
          </cell>
          <cell r="D419">
            <v>902.56</v>
          </cell>
          <cell r="E419">
            <v>906.08</v>
          </cell>
          <cell r="F419">
            <v>896.67</v>
          </cell>
          <cell r="G419">
            <v>34.009399999999999</v>
          </cell>
          <cell r="H419">
            <v>273225.96000000002</v>
          </cell>
        </row>
        <row r="420">
          <cell r="B420" t="str">
            <v>KLAC UW</v>
          </cell>
          <cell r="C420" t="str">
            <v>KLA CORP</v>
          </cell>
          <cell r="D420">
            <v>206.89</v>
          </cell>
          <cell r="E420">
            <v>207.3</v>
          </cell>
          <cell r="F420">
            <v>200.33</v>
          </cell>
          <cell r="G420">
            <v>66.156800000000004</v>
          </cell>
          <cell r="H420">
            <v>270311.46000000002</v>
          </cell>
        </row>
        <row r="421">
          <cell r="B421" t="str">
            <v>5706 JT</v>
          </cell>
          <cell r="C421" t="str">
            <v>MITSUI KINZOKU CO LTD</v>
          </cell>
          <cell r="D421">
            <v>2553.5</v>
          </cell>
          <cell r="E421">
            <v>2488</v>
          </cell>
          <cell r="F421">
            <v>2464.5</v>
          </cell>
          <cell r="G421">
            <v>84.689300000000003</v>
          </cell>
          <cell r="H421">
            <v>1466229.63</v>
          </cell>
        </row>
        <row r="422">
          <cell r="B422" t="str">
            <v>WMT UQ</v>
          </cell>
          <cell r="C422" t="str">
            <v>WALMART INC</v>
          </cell>
          <cell r="D422">
            <v>104.26</v>
          </cell>
          <cell r="E422">
            <v>104.94</v>
          </cell>
          <cell r="F422">
            <v>104.26</v>
          </cell>
          <cell r="G422">
            <v>27.3614</v>
          </cell>
          <cell r="H422">
            <v>827172.38</v>
          </cell>
        </row>
        <row r="423">
          <cell r="B423" t="str">
            <v>WDC UN</v>
          </cell>
          <cell r="C423" t="str">
            <v>WESTERN DIGITAL CORP</v>
          </cell>
          <cell r="D423">
            <v>415.15</v>
          </cell>
          <cell r="E423">
            <v>420.59500000000003</v>
          </cell>
          <cell r="F423">
            <v>462.31</v>
          </cell>
          <cell r="G423">
            <v>84.311499999999995</v>
          </cell>
          <cell r="H423">
            <v>143094.79</v>
          </cell>
        </row>
        <row r="424">
          <cell r="B424" t="str">
            <v>USGG10YR</v>
          </cell>
          <cell r="C424" t="str">
            <v>US Generic Govt 10 Yr</v>
          </cell>
          <cell r="D424">
            <v>5.2706</v>
          </cell>
          <cell r="E424">
            <v>5.2495000000000003</v>
          </cell>
          <cell r="F424">
            <v>5.2407000000000004</v>
          </cell>
          <cell r="G424">
            <v>16.076599999999999</v>
          </cell>
          <cell r="H424"/>
        </row>
        <row r="425">
          <cell r="B425" t="str">
            <v>WMT UQ</v>
          </cell>
          <cell r="C425" t="str">
            <v>WALMART INC</v>
          </cell>
          <cell r="D425">
            <v>104.26</v>
          </cell>
          <cell r="E425">
            <v>104.94</v>
          </cell>
          <cell r="F425">
            <v>104.26</v>
          </cell>
          <cell r="G425">
            <v>27.3614</v>
          </cell>
          <cell r="H425">
            <v>827172.38</v>
          </cell>
        </row>
        <row r="426">
          <cell r="B426" t="str">
            <v>SPWR UN</v>
          </cell>
          <cell r="C426" t="str">
            <v>SUNPOWER INC</v>
          </cell>
          <cell r="D426">
            <v>0.2979</v>
          </cell>
          <cell r="E426">
            <v>0.30249999999999999</v>
          </cell>
          <cell r="F426">
            <v>0.30520000000000003</v>
          </cell>
          <cell r="G426">
            <v>114.5775</v>
          </cell>
          <cell r="H426">
            <v>95.4</v>
          </cell>
        </row>
        <row r="427">
          <cell r="B427" t="str">
            <v>UNCY UN</v>
          </cell>
          <cell r="C427" t="str">
            <v>UNICYCIVE THERAPEUTICS INC</v>
          </cell>
          <cell r="D427">
            <v>4.2149999999999999</v>
          </cell>
          <cell r="E427">
            <v>4.57</v>
          </cell>
          <cell r="F427">
            <v>4.5549999999999997</v>
          </cell>
          <cell r="G427">
            <v>89.115799999999993</v>
          </cell>
          <cell r="H427">
            <v>117.41</v>
          </cell>
        </row>
        <row r="428">
          <cell r="B428" t="str">
            <v>USGG2YR</v>
          </cell>
          <cell r="C428" t="str">
            <v>US Generic Govt 2 Yr</v>
          </cell>
          <cell r="D428">
            <v>4.8247</v>
          </cell>
          <cell r="E428">
            <v>4.7995999999999999</v>
          </cell>
          <cell r="F428">
            <v>4.7914000000000003</v>
          </cell>
          <cell r="G428">
            <v>18.7913</v>
          </cell>
          <cell r="H428"/>
        </row>
        <row r="429">
          <cell r="B429" t="str">
            <v>USGG5YR</v>
          </cell>
          <cell r="C429" t="str">
            <v>US Generic Govt 5 Yr</v>
          </cell>
          <cell r="D429">
            <v>5.0536000000000003</v>
          </cell>
          <cell r="E429">
            <v>5.0176999999999996</v>
          </cell>
          <cell r="F429">
            <v>5.0106000000000002</v>
          </cell>
          <cell r="G429">
            <v>19.038</v>
          </cell>
          <cell r="H429"/>
        </row>
        <row r="430">
          <cell r="B430" t="str">
            <v>USGG30YR</v>
          </cell>
          <cell r="C430" t="str">
            <v>US Generic Govt 30 Yr</v>
          </cell>
          <cell r="D430">
            <v>5.6195000000000004</v>
          </cell>
          <cell r="E430">
            <v>5.6182999999999996</v>
          </cell>
          <cell r="F430">
            <v>5.6125999999999996</v>
          </cell>
          <cell r="G430">
            <v>12.340199999999999</v>
          </cell>
          <cell r="H430"/>
        </row>
        <row r="431">
          <cell r="B431" t="str">
            <v>285A JT</v>
          </cell>
          <cell r="C431" t="str">
            <v>KIOXIA HOLDINGS CORP</v>
          </cell>
          <cell r="D431">
            <v>19300</v>
          </cell>
          <cell r="E431">
            <v>19145</v>
          </cell>
          <cell r="F431">
            <v>19100</v>
          </cell>
          <cell r="G431">
            <v>111.6388</v>
          </cell>
          <cell r="H431">
            <v>31766200.07</v>
          </cell>
        </row>
        <row r="432">
          <cell r="B432" t="str">
            <v>AXP UN</v>
          </cell>
          <cell r="C432" t="str">
            <v>AMERICAN EXPRESS CO</v>
          </cell>
          <cell r="D432">
            <v>302.77999999999997</v>
          </cell>
          <cell r="E432">
            <v>303.55</v>
          </cell>
          <cell r="F432">
            <v>302.08999999999997</v>
          </cell>
          <cell r="G432">
            <v>27.036100000000001</v>
          </cell>
          <cell r="H432">
            <v>204470.31</v>
          </cell>
        </row>
        <row r="433">
          <cell r="B433" t="str">
            <v>6988 JT</v>
          </cell>
          <cell r="C433" t="str">
            <v>NITTO DENKO CORP</v>
          </cell>
          <cell r="D433">
            <v>3506</v>
          </cell>
          <cell r="E433">
            <v>3480</v>
          </cell>
          <cell r="F433">
            <v>3517</v>
          </cell>
          <cell r="G433">
            <v>33.170699999999997</v>
          </cell>
          <cell r="H433">
            <v>2379380.91</v>
          </cell>
        </row>
        <row r="434">
          <cell r="B434" t="str">
            <v>3563 JT</v>
          </cell>
          <cell r="C434" t="str">
            <v>FOOD &amp; LIFE COMPANIES LTD</v>
          </cell>
          <cell r="D434">
            <v>5067</v>
          </cell>
          <cell r="E434">
            <v>5117</v>
          </cell>
          <cell r="F434">
            <v>5088</v>
          </cell>
          <cell r="G434">
            <v>40.396099999999997</v>
          </cell>
          <cell r="H434">
            <v>1176245.1100000001</v>
          </cell>
        </row>
        <row r="435">
          <cell r="B435" t="str">
            <v>LITE UQ</v>
          </cell>
          <cell r="C435" t="str">
            <v>LUMENTUM HOLDINGS INC</v>
          </cell>
          <cell r="D435">
            <v>1085.42</v>
          </cell>
          <cell r="E435">
            <v>1051.19</v>
          </cell>
          <cell r="F435">
            <v>1045.78</v>
          </cell>
          <cell r="G435">
            <v>97.278800000000004</v>
          </cell>
          <cell r="H435">
            <v>97362.17</v>
          </cell>
        </row>
        <row r="436">
          <cell r="B436" t="str">
            <v>COHR UN</v>
          </cell>
          <cell r="C436" t="str">
            <v>COHERENT CORP</v>
          </cell>
          <cell r="D436">
            <v>337.04</v>
          </cell>
          <cell r="E436">
            <v>317.27999999999997</v>
          </cell>
          <cell r="F436">
            <v>319.19</v>
          </cell>
          <cell r="G436">
            <v>90.404200000000003</v>
          </cell>
          <cell r="H436">
            <v>66003.3</v>
          </cell>
        </row>
        <row r="437">
          <cell r="B437" t="str">
            <v>5802 JT</v>
          </cell>
          <cell r="C437" t="str">
            <v>SUMITOMO ELECTRIC INDUSTRIES</v>
          </cell>
          <cell r="D437">
            <v>2452</v>
          </cell>
          <cell r="E437">
            <v>2356</v>
          </cell>
          <cell r="F437">
            <v>2369</v>
          </cell>
          <cell r="G437">
            <v>72.461500000000001</v>
          </cell>
          <cell r="H437">
            <v>7786969.1200000001</v>
          </cell>
        </row>
        <row r="438">
          <cell r="B438" t="str">
            <v>5631 JT</v>
          </cell>
          <cell r="C438" t="str">
            <v>JAPAN STEEL WORKS LTD</v>
          </cell>
          <cell r="D438">
            <v>7182</v>
          </cell>
          <cell r="E438">
            <v>7236</v>
          </cell>
          <cell r="F438">
            <v>7250</v>
          </cell>
          <cell r="G438">
            <v>53.487400000000001</v>
          </cell>
          <cell r="H438">
            <v>534544.06000000006</v>
          </cell>
        </row>
        <row r="439">
          <cell r="B439" t="str">
            <v>AAOI UQ</v>
          </cell>
          <cell r="C439" t="str">
            <v>APPLIED OPTOELECTRONICS INC</v>
          </cell>
          <cell r="D439">
            <v>115.59</v>
          </cell>
          <cell r="E439">
            <v>109.86</v>
          </cell>
          <cell r="F439">
            <v>107.32</v>
          </cell>
          <cell r="G439">
            <v>146.68770000000001</v>
          </cell>
          <cell r="H439">
            <v>9775.36</v>
          </cell>
        </row>
        <row r="440">
          <cell r="B440" t="str">
            <v>9432 JT</v>
          </cell>
          <cell r="C440" t="str">
            <v>NTT INC</v>
          </cell>
          <cell r="D440">
            <v>169.9</v>
          </cell>
          <cell r="E440">
            <v>169.5</v>
          </cell>
          <cell r="F440">
            <v>170.3</v>
          </cell>
          <cell r="G440">
            <v>16.675699999999999</v>
          </cell>
          <cell r="H440">
            <v>15384498.76</v>
          </cell>
        </row>
        <row r="441">
          <cell r="B441" t="str">
            <v>8766 JT</v>
          </cell>
          <cell r="C441" t="str">
            <v>TOKIO MARINE HOLDINGS INC</v>
          </cell>
          <cell r="D441">
            <v>507.4</v>
          </cell>
          <cell r="E441">
            <v>515</v>
          </cell>
          <cell r="F441">
            <v>521</v>
          </cell>
          <cell r="G441">
            <v>37.839799999999997</v>
          </cell>
          <cell r="H441">
            <v>14719674</v>
          </cell>
        </row>
        <row r="442">
          <cell r="B442" t="str">
            <v>IVV UP</v>
          </cell>
          <cell r="C442" t="str">
            <v>ISHARES CORE S&amp;P 500 ETF</v>
          </cell>
          <cell r="D442">
            <v>773.1</v>
          </cell>
          <cell r="E442">
            <v>774.15</v>
          </cell>
          <cell r="F442">
            <v>767.38</v>
          </cell>
          <cell r="G442">
            <v>13.180899999999999</v>
          </cell>
          <cell r="H442">
            <v>888601.13</v>
          </cell>
        </row>
        <row r="443">
          <cell r="B443" t="str">
            <v>BLK UN</v>
          </cell>
          <cell r="C443" t="str">
            <v>BLACKROCK INC</v>
          </cell>
          <cell r="D443">
            <v>1059.6300000000001</v>
          </cell>
          <cell r="E443">
            <v>1075.42</v>
          </cell>
          <cell r="F443">
            <v>1064.3599999999999</v>
          </cell>
          <cell r="G443">
            <v>29.0307</v>
          </cell>
          <cell r="H443">
            <v>172933.46</v>
          </cell>
        </row>
        <row r="444">
          <cell r="B444" t="str">
            <v>LRCX UQ</v>
          </cell>
          <cell r="C444" t="str">
            <v>LAM RESEARCH CORP</v>
          </cell>
          <cell r="D444">
            <v>347.49</v>
          </cell>
          <cell r="E444">
            <v>350</v>
          </cell>
          <cell r="F444">
            <v>340.1</v>
          </cell>
          <cell r="G444">
            <v>68.934899999999999</v>
          </cell>
          <cell r="H444">
            <v>434857.45</v>
          </cell>
        </row>
        <row r="445">
          <cell r="B445" t="str">
            <v>6368 JT</v>
          </cell>
          <cell r="C445" t="str">
            <v>ORGANO CORP</v>
          </cell>
          <cell r="D445">
            <v>2545</v>
          </cell>
          <cell r="E445">
            <v>2585</v>
          </cell>
          <cell r="F445">
            <v>2585</v>
          </cell>
          <cell r="G445">
            <v>57.035699999999999</v>
          </cell>
          <cell r="H445">
            <v>589927.18000000005</v>
          </cell>
        </row>
        <row r="446">
          <cell r="B446" t="str">
            <v>6503 JT</v>
          </cell>
          <cell r="C446" t="str">
            <v>MITSUBISHI ELECTRIC CORP</v>
          </cell>
          <cell r="D446">
            <v>5264</v>
          </cell>
          <cell r="E446">
            <v>5264</v>
          </cell>
          <cell r="F446">
            <v>5312</v>
          </cell>
          <cell r="G446">
            <v>44.793900000000001</v>
          </cell>
          <cell r="H446">
            <v>11123892.960000001</v>
          </cell>
        </row>
        <row r="447">
          <cell r="B447" t="str">
            <v>AAOI UN</v>
          </cell>
          <cell r="C447" t="str">
            <v>APPLIED OPTOELECTRONICS INC</v>
          </cell>
          <cell r="D447">
            <v>115.59</v>
          </cell>
          <cell r="E447">
            <v>109.22</v>
          </cell>
          <cell r="F447">
            <v>107.33</v>
          </cell>
          <cell r="G447">
            <v>146.68989999999999</v>
          </cell>
          <cell r="H447">
            <v>9775.36</v>
          </cell>
        </row>
        <row r="448">
          <cell r="B448" t="str">
            <v>SPX</v>
          </cell>
          <cell r="C448" t="str">
            <v>S&amp;P 500 INDEX</v>
          </cell>
          <cell r="D448">
            <v>7722.72</v>
          </cell>
          <cell r="E448">
            <v>7726.24</v>
          </cell>
          <cell r="F448">
            <v>7666.45</v>
          </cell>
          <cell r="G448">
            <v>13.176</v>
          </cell>
          <cell r="H448">
            <v>68962922.280000001</v>
          </cell>
        </row>
        <row r="449">
          <cell r="B449" t="str">
            <v>ALAB UW</v>
          </cell>
          <cell r="C449" t="str">
            <v>ASTERA LABS INC</v>
          </cell>
          <cell r="D449">
            <v>350.33</v>
          </cell>
          <cell r="E449">
            <v>348</v>
          </cell>
          <cell r="F449">
            <v>356.42</v>
          </cell>
          <cell r="G449">
            <v>101.1219</v>
          </cell>
          <cell r="H449">
            <v>60777.04</v>
          </cell>
        </row>
        <row r="450">
          <cell r="B450" t="str">
            <v>4204 JT</v>
          </cell>
          <cell r="C450" t="str">
            <v>SEKISUI CHEMICAL CO LTD</v>
          </cell>
          <cell r="D450">
            <v>2499</v>
          </cell>
          <cell r="E450">
            <v>2513.5</v>
          </cell>
          <cell r="F450">
            <v>2535</v>
          </cell>
          <cell r="G450">
            <v>22.605899999999998</v>
          </cell>
          <cell r="H450">
            <v>1013362.71</v>
          </cell>
        </row>
        <row r="451">
          <cell r="B451" t="str">
            <v>4901 JT</v>
          </cell>
          <cell r="C451" t="str">
            <v>FUJIFILM HOLDINGS CORP</v>
          </cell>
          <cell r="D451">
            <v>3314</v>
          </cell>
          <cell r="E451">
            <v>3336</v>
          </cell>
          <cell r="F451">
            <v>3393</v>
          </cell>
          <cell r="G451">
            <v>35.020000000000003</v>
          </cell>
          <cell r="H451">
            <v>4089974.04</v>
          </cell>
        </row>
        <row r="452">
          <cell r="B452" t="str">
            <v>3402 JT</v>
          </cell>
          <cell r="C452" t="str">
            <v>TORAY INDUSTRIES INC</v>
          </cell>
          <cell r="D452">
            <v>1223.5</v>
          </cell>
          <cell r="E452">
            <v>1216</v>
          </cell>
          <cell r="F452">
            <v>1231.5</v>
          </cell>
          <cell r="G452">
            <v>34.875500000000002</v>
          </cell>
          <cell r="H452">
            <v>1840733</v>
          </cell>
        </row>
        <row r="453">
          <cell r="B453" t="str">
            <v>5016 JT</v>
          </cell>
          <cell r="C453" t="str">
            <v>JX ADVANCED METALS CORP</v>
          </cell>
          <cell r="D453">
            <v>3612</v>
          </cell>
          <cell r="E453">
            <v>3591</v>
          </cell>
          <cell r="F453">
            <v>3605</v>
          </cell>
          <cell r="G453">
            <v>80.192499999999995</v>
          </cell>
          <cell r="H453">
            <v>3428449.75</v>
          </cell>
        </row>
        <row r="454">
          <cell r="B454" t="str">
            <v>7701 JT</v>
          </cell>
          <cell r="C454" t="str">
            <v>SHIMADZU CORP</v>
          </cell>
          <cell r="D454">
            <v>3898</v>
          </cell>
          <cell r="E454">
            <v>3941</v>
          </cell>
          <cell r="F454">
            <v>3996</v>
          </cell>
          <cell r="G454">
            <v>27.292200000000001</v>
          </cell>
          <cell r="H454">
            <v>1154081.74</v>
          </cell>
        </row>
        <row r="455">
          <cell r="B455" t="str">
            <v>2502 JT</v>
          </cell>
          <cell r="C455" t="str">
            <v>ASAHI GROUP HOLDINGS LTD</v>
          </cell>
          <cell r="D455">
            <v>1572</v>
          </cell>
          <cell r="E455">
            <v>1579</v>
          </cell>
          <cell r="F455">
            <v>1595</v>
          </cell>
          <cell r="G455">
            <v>22.952200000000001</v>
          </cell>
          <cell r="H455">
            <v>2391027.86</v>
          </cell>
        </row>
        <row r="456">
          <cell r="B456" t="str">
            <v>4186 JT</v>
          </cell>
          <cell r="C456" t="str">
            <v>TOKYO OHKA KOGYO CO LTD</v>
          </cell>
          <cell r="D456">
            <v>8908</v>
          </cell>
          <cell r="E456">
            <v>8860</v>
          </cell>
          <cell r="F456">
            <v>8934</v>
          </cell>
          <cell r="G456">
            <v>60.397100000000002</v>
          </cell>
          <cell r="H456">
            <v>1138442.3999999999</v>
          </cell>
        </row>
        <row r="457">
          <cell r="B457" t="str">
            <v>8012 JT</v>
          </cell>
          <cell r="C457" t="str">
            <v>NAGASE &amp; CO LTD</v>
          </cell>
          <cell r="D457">
            <v>1151.5</v>
          </cell>
          <cell r="E457">
            <v>1151.5</v>
          </cell>
          <cell r="F457">
            <v>1163</v>
          </cell>
          <cell r="G457">
            <v>33.590699999999998</v>
          </cell>
          <cell r="H457">
            <v>506237.56</v>
          </cell>
        </row>
        <row r="458">
          <cell r="B458" t="str">
            <v>AMAT UQ</v>
          </cell>
          <cell r="C458" t="str">
            <v>APPLIED MATERIALS INC</v>
          </cell>
          <cell r="D458">
            <v>540.04</v>
          </cell>
          <cell r="E458">
            <v>544.44000000000005</v>
          </cell>
          <cell r="F458">
            <v>529.29999999999995</v>
          </cell>
          <cell r="G458">
            <v>64.058400000000006</v>
          </cell>
          <cell r="H458">
            <v>428574.36</v>
          </cell>
        </row>
        <row r="459">
          <cell r="B459" t="str">
            <v>SNPS UW</v>
          </cell>
          <cell r="C459" t="str">
            <v>SYNOPSYS INC</v>
          </cell>
          <cell r="D459">
            <v>489.9</v>
          </cell>
          <cell r="E459">
            <v>498.75</v>
          </cell>
          <cell r="F459">
            <v>490.54</v>
          </cell>
          <cell r="G459">
            <v>46.554200000000002</v>
          </cell>
          <cell r="H459">
            <v>93882.79</v>
          </cell>
        </row>
        <row r="460">
          <cell r="B460" t="str">
            <v>6504 JT</v>
          </cell>
          <cell r="C460" t="str">
            <v>FUJI ELECTRIC CO LTD</v>
          </cell>
          <cell r="D460">
            <v>14655</v>
          </cell>
          <cell r="E460">
            <v>14470</v>
          </cell>
          <cell r="F460">
            <v>14540</v>
          </cell>
          <cell r="G460">
            <v>54.086199999999998</v>
          </cell>
          <cell r="H460">
            <v>2187947.4</v>
          </cell>
        </row>
        <row r="461">
          <cell r="B461" t="str">
            <v>ONDS UQ</v>
          </cell>
          <cell r="C461" t="str">
            <v>ONDAS INC</v>
          </cell>
          <cell r="D461">
            <v>7.24</v>
          </cell>
          <cell r="E461">
            <v>7.27</v>
          </cell>
          <cell r="F461">
            <v>7.12</v>
          </cell>
          <cell r="G461">
            <v>99.4983</v>
          </cell>
          <cell r="H461">
            <v>4208.1899999999996</v>
          </cell>
        </row>
        <row r="462">
          <cell r="B462" t="str">
            <v>ONDS UR</v>
          </cell>
          <cell r="C462" t="str">
            <v>ONDAS INC</v>
          </cell>
          <cell r="D462">
            <v>7.24</v>
          </cell>
          <cell r="E462">
            <v>7.27</v>
          </cell>
          <cell r="F462">
            <v>7.12</v>
          </cell>
          <cell r="G462">
            <v>99.4983</v>
          </cell>
          <cell r="H462">
            <v>4208.1899999999996</v>
          </cell>
        </row>
        <row r="463">
          <cell r="B463" t="str">
            <v>SCHD UP</v>
          </cell>
          <cell r="C463" t="str">
            <v>SCHWAB US DVD EQUITY ETF</v>
          </cell>
          <cell r="D463">
            <v>32.72</v>
          </cell>
          <cell r="E463">
            <v>32.75</v>
          </cell>
          <cell r="F463">
            <v>32.659999999999997</v>
          </cell>
          <cell r="G463">
            <v>11.3614</v>
          </cell>
          <cell r="H463">
            <v>108794.01</v>
          </cell>
        </row>
        <row r="464">
          <cell r="B464" t="str">
            <v>KKR UN</v>
          </cell>
          <cell r="C464" t="str">
            <v>KKR &amp; CO INC</v>
          </cell>
          <cell r="D464">
            <v>90.29</v>
          </cell>
          <cell r="E464">
            <v>91.71</v>
          </cell>
          <cell r="F464">
            <v>91.24</v>
          </cell>
          <cell r="G464">
            <v>39.863500000000002</v>
          </cell>
          <cell r="H464">
            <v>81047.520000000004</v>
          </cell>
        </row>
        <row r="465">
          <cell r="B465" t="str">
            <v>BX UN</v>
          </cell>
          <cell r="C465" t="str">
            <v>BLACKSTONE INC</v>
          </cell>
          <cell r="D465">
            <v>111.75</v>
          </cell>
          <cell r="E465">
            <v>112.56</v>
          </cell>
          <cell r="F465">
            <v>112.24</v>
          </cell>
          <cell r="G465">
            <v>39.150100000000002</v>
          </cell>
          <cell r="H465">
            <v>138679.69</v>
          </cell>
        </row>
        <row r="466">
          <cell r="B466" t="str">
            <v>GLW UN</v>
          </cell>
          <cell r="C466" t="str">
            <v>CORNING INC</v>
          </cell>
          <cell r="D466">
            <v>164.19</v>
          </cell>
          <cell r="E466">
            <v>163.92</v>
          </cell>
          <cell r="F466">
            <v>160.41999999999999</v>
          </cell>
          <cell r="G466">
            <v>80.012500000000003</v>
          </cell>
          <cell r="H466">
            <v>141431.35</v>
          </cell>
        </row>
        <row r="467">
          <cell r="B467" t="str">
            <v>NOK UN</v>
          </cell>
          <cell r="C467" t="str">
            <v>NOKIA CORP-SPON ADR</v>
          </cell>
          <cell r="D467">
            <v>10.6</v>
          </cell>
          <cell r="E467">
            <v>10.59</v>
          </cell>
          <cell r="F467">
            <v>10.37</v>
          </cell>
          <cell r="G467">
            <v>62.6601</v>
          </cell>
          <cell r="H467">
            <v>60867.74</v>
          </cell>
        </row>
        <row r="468">
          <cell r="B468" t="str">
            <v>WMT UW</v>
          </cell>
          <cell r="C468" t="str">
            <v>WALMART INC</v>
          </cell>
          <cell r="D468">
            <v>104.26</v>
          </cell>
          <cell r="E468">
            <v>104.94</v>
          </cell>
          <cell r="F468">
            <v>104.26</v>
          </cell>
          <cell r="G468">
            <v>27.3614</v>
          </cell>
          <cell r="H468">
            <v>827172.38</v>
          </cell>
        </row>
        <row r="469">
          <cell r="B469" t="str">
            <v>SPGI UN</v>
          </cell>
          <cell r="C469" t="str">
            <v>S&amp;P GLOBAL INC</v>
          </cell>
          <cell r="D469">
            <v>386.27</v>
          </cell>
          <cell r="E469">
            <v>388.1</v>
          </cell>
          <cell r="F469">
            <v>388.16</v>
          </cell>
          <cell r="G469">
            <v>33.955800000000004</v>
          </cell>
          <cell r="H469">
            <v>116653.54</v>
          </cell>
        </row>
        <row r="470">
          <cell r="B470" t="str">
            <v>MCO UN</v>
          </cell>
          <cell r="C470" t="str">
            <v>MOODY'S CORP</v>
          </cell>
          <cell r="D470">
            <v>441.36</v>
          </cell>
          <cell r="E470">
            <v>447</v>
          </cell>
          <cell r="F470">
            <v>447.36</v>
          </cell>
          <cell r="G470">
            <v>30.188300000000002</v>
          </cell>
          <cell r="H470">
            <v>76443.55</v>
          </cell>
        </row>
        <row r="471">
          <cell r="B471" t="str">
            <v>EL UN</v>
          </cell>
          <cell r="C471" t="str">
            <v>ESTEE LAUDER COMPANIES-CL A</v>
          </cell>
          <cell r="D471">
            <v>91.97</v>
          </cell>
          <cell r="E471">
            <v>90.5</v>
          </cell>
          <cell r="F471">
            <v>90.19</v>
          </cell>
          <cell r="G471">
            <v>51.652900000000002</v>
          </cell>
          <cell r="H471">
            <v>33322.83</v>
          </cell>
        </row>
        <row r="472">
          <cell r="B472" t="str">
            <v>CELH UQ</v>
          </cell>
          <cell r="C472" t="str">
            <v>CELSIUS HOLDINGS INC</v>
          </cell>
          <cell r="D472">
            <v>26.75</v>
          </cell>
          <cell r="E472">
            <v>27.75</v>
          </cell>
          <cell r="F472">
            <v>27.41</v>
          </cell>
          <cell r="G472">
            <v>60.250399999999999</v>
          </cell>
          <cell r="H472">
            <v>6768.69</v>
          </cell>
        </row>
        <row r="473">
          <cell r="B473" t="str">
            <v>RKLB UW</v>
          </cell>
          <cell r="C473" t="str">
            <v>ROCKET LAB CORP</v>
          </cell>
          <cell r="D473">
            <v>73.92</v>
          </cell>
          <cell r="E473">
            <v>72.010000000000005</v>
          </cell>
          <cell r="F473">
            <v>70.459999999999994</v>
          </cell>
          <cell r="G473">
            <v>95.774600000000007</v>
          </cell>
          <cell r="H473">
            <v>47257.18</v>
          </cell>
        </row>
        <row r="474">
          <cell r="B474" t="str">
            <v>6976 JT</v>
          </cell>
          <cell r="C474" t="str">
            <v>TAIYO YUDEN CO LTD</v>
          </cell>
          <cell r="D474">
            <v>10095</v>
          </cell>
          <cell r="E474">
            <v>10015</v>
          </cell>
          <cell r="F474">
            <v>10100</v>
          </cell>
          <cell r="G474">
            <v>96.601399999999998</v>
          </cell>
          <cell r="H474">
            <v>1388716.59</v>
          </cell>
        </row>
        <row r="475">
          <cell r="B475" t="str">
            <v>SOXX UP</v>
          </cell>
          <cell r="C475" t="str">
            <v>ISHARES SEMICONDUCTOR ETF</v>
          </cell>
          <cell r="D475">
            <v>589.5</v>
          </cell>
          <cell r="E475">
            <v>590.65</v>
          </cell>
          <cell r="F475">
            <v>576.34</v>
          </cell>
          <cell r="G475">
            <v>48.858699999999999</v>
          </cell>
          <cell r="H475">
            <v>48869.55</v>
          </cell>
        </row>
        <row r="476">
          <cell r="B476" t="str">
            <v>UFO UP</v>
          </cell>
          <cell r="C476" t="str">
            <v>PROCURE SPACE ETF</v>
          </cell>
          <cell r="D476">
            <v>43.195</v>
          </cell>
          <cell r="E476">
            <v>42.35</v>
          </cell>
          <cell r="F476">
            <v>41.93</v>
          </cell>
          <cell r="G476">
            <v>43.012799999999999</v>
          </cell>
          <cell r="H476">
            <v>546.41999999999996</v>
          </cell>
        </row>
        <row r="477">
          <cell r="B477" t="str">
            <v>UFO UQ</v>
          </cell>
          <cell r="C477" t="str">
            <v>PROCURE SPACE ETF</v>
          </cell>
          <cell r="D477">
            <v>43.13</v>
          </cell>
          <cell r="E477">
            <v>42.4</v>
          </cell>
          <cell r="F477">
            <v>41.95</v>
          </cell>
          <cell r="G477">
            <v>43.016199999999998</v>
          </cell>
          <cell r="H477">
            <v>545.59</v>
          </cell>
        </row>
        <row r="478">
          <cell r="B478" t="str">
            <v>MARA UR</v>
          </cell>
          <cell r="C478" t="str">
            <v>MARA HOLDINGS INC</v>
          </cell>
          <cell r="D478">
            <v>11.23</v>
          </cell>
          <cell r="E478">
            <v>11.63</v>
          </cell>
          <cell r="F478">
            <v>11.21</v>
          </cell>
          <cell r="G478">
            <v>87.6815</v>
          </cell>
          <cell r="H478">
            <v>4338.1400000000003</v>
          </cell>
        </row>
        <row r="479">
          <cell r="B479" t="str">
            <v>6762 JT</v>
          </cell>
          <cell r="C479" t="str">
            <v>TDK CORP</v>
          </cell>
          <cell r="D479">
            <v>3198</v>
          </cell>
          <cell r="E479">
            <v>3176</v>
          </cell>
          <cell r="F479">
            <v>3200</v>
          </cell>
          <cell r="G479">
            <v>57.212299999999999</v>
          </cell>
          <cell r="H479">
            <v>6216463.9100000001</v>
          </cell>
        </row>
        <row r="480">
          <cell r="B480" t="str">
            <v>6971 JT</v>
          </cell>
          <cell r="C480" t="str">
            <v>KYOCERA CORP</v>
          </cell>
          <cell r="D480">
            <v>3668</v>
          </cell>
          <cell r="E480">
            <v>3712</v>
          </cell>
          <cell r="F480">
            <v>3728</v>
          </cell>
          <cell r="G480">
            <v>37.256300000000003</v>
          </cell>
          <cell r="H480">
            <v>5205261.8099999996</v>
          </cell>
        </row>
        <row r="481">
          <cell r="B481" t="str">
            <v>SPCX UW</v>
          </cell>
          <cell r="C481" t="str">
            <v>SPACE EXPLORATION TECHN-CL A</v>
          </cell>
          <cell r="D481">
            <v>158.96</v>
          </cell>
          <cell r="E481">
            <v>149.5</v>
          </cell>
          <cell r="F481">
            <v>148.07</v>
          </cell>
          <cell r="G481">
            <v>999</v>
          </cell>
          <cell r="H481">
            <v>2157535.73</v>
          </cell>
        </row>
        <row r="482">
          <cell r="B482" t="str">
            <v>CIEN UN</v>
          </cell>
          <cell r="C482" t="str">
            <v>CIENA CORP</v>
          </cell>
          <cell r="D482">
            <v>391.34</v>
          </cell>
          <cell r="E482">
            <v>385.11</v>
          </cell>
          <cell r="F482">
            <v>379.14</v>
          </cell>
          <cell r="G482">
            <v>77.959900000000005</v>
          </cell>
          <cell r="H482">
            <v>55495.35</v>
          </cell>
        </row>
        <row r="483">
          <cell r="B483" t="str">
            <v>SPCX UQ</v>
          </cell>
          <cell r="C483" t="str">
            <v>SPACE EXPLORATION TECHN-CL A</v>
          </cell>
          <cell r="D483">
            <v>158.96</v>
          </cell>
          <cell r="E483">
            <v>149.5</v>
          </cell>
          <cell r="F483">
            <v>148.07</v>
          </cell>
          <cell r="G483">
            <v>999</v>
          </cell>
          <cell r="H483">
            <v>2157535.73</v>
          </cell>
        </row>
        <row r="484">
          <cell r="B484" t="str">
            <v>SNDK UQ</v>
          </cell>
          <cell r="C484" t="str">
            <v>SANDISK CORP</v>
          </cell>
          <cell r="D484">
            <v>1719.99</v>
          </cell>
          <cell r="E484">
            <v>1774.23</v>
          </cell>
          <cell r="F484">
            <v>1787.69</v>
          </cell>
          <cell r="G484">
            <v>112.0061</v>
          </cell>
          <cell r="H484">
            <v>251839.22</v>
          </cell>
        </row>
        <row r="485">
          <cell r="B485" t="str">
            <v>HLT UN</v>
          </cell>
          <cell r="C485" t="str">
            <v>HILTON WORLDWIDE HOLDINGS IN</v>
          </cell>
          <cell r="D485">
            <v>319.36</v>
          </cell>
          <cell r="E485">
            <v>319</v>
          </cell>
          <cell r="F485">
            <v>315.44</v>
          </cell>
          <cell r="G485">
            <v>23.915099999999999</v>
          </cell>
          <cell r="H485">
            <v>71876.73</v>
          </cell>
        </row>
        <row r="486">
          <cell r="B486" t="str">
            <v>BKNG UW</v>
          </cell>
          <cell r="C486" t="str">
            <v>BOOKING HOLDINGS INC</v>
          </cell>
          <cell r="D486">
            <v>159.02000000000001</v>
          </cell>
          <cell r="E486">
            <v>161.19999999999999</v>
          </cell>
          <cell r="F486">
            <v>160.28</v>
          </cell>
          <cell r="G486">
            <v>40.139200000000002</v>
          </cell>
          <cell r="H486">
            <v>119484.53</v>
          </cell>
        </row>
        <row r="487">
          <cell r="B487" t="str">
            <v>CAT UN</v>
          </cell>
          <cell r="C487" t="str">
            <v>CATERPILLAR INC</v>
          </cell>
          <cell r="D487">
            <v>845.42</v>
          </cell>
          <cell r="E487">
            <v>836.46</v>
          </cell>
          <cell r="F487">
            <v>826.35</v>
          </cell>
          <cell r="G487">
            <v>40.845199999999998</v>
          </cell>
          <cell r="H487">
            <v>388618.34</v>
          </cell>
        </row>
        <row r="488">
          <cell r="B488" t="str">
            <v>DRAM UP</v>
          </cell>
          <cell r="C488" t="str">
            <v>ROUNDHILL MEMORY ETF</v>
          </cell>
          <cell r="D488">
            <v>61.68</v>
          </cell>
          <cell r="E488">
            <v>62.49</v>
          </cell>
          <cell r="F488">
            <v>61.83</v>
          </cell>
          <cell r="G488">
            <v>89.014799999999994</v>
          </cell>
          <cell r="H488">
            <v>26138.75</v>
          </cell>
        </row>
        <row r="489">
          <cell r="B489" t="str">
            <v>DRAM UN</v>
          </cell>
          <cell r="C489" t="str">
            <v>ROUNDHILL MEMORY ETF</v>
          </cell>
          <cell r="D489">
            <v>61.734999999999999</v>
          </cell>
          <cell r="E489">
            <v>62.48</v>
          </cell>
          <cell r="F489">
            <v>62.015000000000001</v>
          </cell>
          <cell r="G489">
            <v>89.339600000000004</v>
          </cell>
          <cell r="H489">
            <v>26162.06</v>
          </cell>
        </row>
        <row r="490">
          <cell r="B490" t="str">
            <v>MS UN</v>
          </cell>
          <cell r="C490" t="str">
            <v>MORGAN STANLEY</v>
          </cell>
          <cell r="D490">
            <v>190.31</v>
          </cell>
          <cell r="E490">
            <v>188.89</v>
          </cell>
          <cell r="F490">
            <v>188.01</v>
          </cell>
          <cell r="G490">
            <v>30.038399999999999</v>
          </cell>
          <cell r="H490">
            <v>298894.46999999997</v>
          </cell>
        </row>
        <row r="491">
          <cell r="B491" t="str">
            <v>NDAQ UW</v>
          </cell>
          <cell r="C491" t="str">
            <v>NASDAQ INC</v>
          </cell>
          <cell r="D491">
            <v>90.33</v>
          </cell>
          <cell r="E491">
            <v>92.18</v>
          </cell>
          <cell r="F491">
            <v>91.67</v>
          </cell>
          <cell r="G491">
            <v>30.212900000000001</v>
          </cell>
          <cell r="H491">
            <v>50492.43</v>
          </cell>
        </row>
        <row r="492">
          <cell r="B492" t="str">
            <v>CME UW</v>
          </cell>
          <cell r="C492" t="str">
            <v>CME GROUP INC</v>
          </cell>
          <cell r="D492">
            <v>263.14</v>
          </cell>
          <cell r="E492">
            <v>264.89999999999998</v>
          </cell>
          <cell r="F492">
            <v>265.10000000000002</v>
          </cell>
          <cell r="G492">
            <v>26.2622</v>
          </cell>
          <cell r="H492">
            <v>94619.69</v>
          </cell>
        </row>
        <row r="493">
          <cell r="B493" t="str">
            <v>CBOE UN</v>
          </cell>
          <cell r="C493" t="str">
            <v>CBOE GLOBAL MARKETS INC</v>
          </cell>
          <cell r="D493">
            <v>271</v>
          </cell>
          <cell r="E493">
            <v>277.435</v>
          </cell>
          <cell r="F493">
            <v>277.54000000000002</v>
          </cell>
          <cell r="G493">
            <v>37.704900000000002</v>
          </cell>
          <cell r="H493">
            <v>28300.81</v>
          </cell>
        </row>
        <row r="494">
          <cell r="B494" t="str">
            <v>CBOE UF</v>
          </cell>
          <cell r="C494" t="str">
            <v>CBOE GLOBAL MARKETS INC</v>
          </cell>
          <cell r="D494">
            <v>271.26</v>
          </cell>
          <cell r="E494">
            <v>278.93</v>
          </cell>
          <cell r="F494">
            <v>277.19</v>
          </cell>
          <cell r="G494">
            <v>38.493499999999997</v>
          </cell>
          <cell r="H494">
            <v>28327.96</v>
          </cell>
        </row>
        <row r="495">
          <cell r="B495" t="str">
            <v>1306 JT</v>
          </cell>
          <cell r="C495" t="str">
            <v>NEXT FUNDS TOPIX ETF</v>
          </cell>
          <cell r="D495">
            <v>430.2</v>
          </cell>
          <cell r="E495">
            <v>430.6</v>
          </cell>
          <cell r="F495">
            <v>434.4</v>
          </cell>
          <cell r="G495">
            <v>21.6919</v>
          </cell>
          <cell r="H495">
            <v>35044736</v>
          </cell>
        </row>
        <row r="496">
          <cell r="B496" t="str">
            <v>ASX UN</v>
          </cell>
          <cell r="C496" t="str">
            <v>ASE TECHNOLOGY HOLDING -ADR</v>
          </cell>
          <cell r="D496">
            <v>47.45</v>
          </cell>
          <cell r="E496">
            <v>46.17</v>
          </cell>
          <cell r="F496">
            <v>44.73</v>
          </cell>
          <cell r="G496">
            <v>59.772300000000001</v>
          </cell>
          <cell r="H496">
            <v>106064.33</v>
          </cell>
        </row>
        <row r="497">
          <cell r="B497" t="str">
            <v>SKHY UW</v>
          </cell>
          <cell r="C497" t="str">
            <v>SK HYNIX INC-ADR</v>
          </cell>
          <cell r="D497">
            <v>195.13</v>
          </cell>
          <cell r="E497">
            <v>194.29</v>
          </cell>
          <cell r="F497">
            <v>193.5</v>
          </cell>
          <cell r="G497">
            <v>999</v>
          </cell>
          <cell r="H497">
            <v>1425409.75</v>
          </cell>
        </row>
        <row r="498">
          <cell r="B498" t="str">
            <v>DRAM UF</v>
          </cell>
          <cell r="C498" t="str">
            <v>ROUNDHILL MEMORY ETF</v>
          </cell>
          <cell r="D498">
            <v>61.78</v>
          </cell>
          <cell r="E498">
            <v>62.45</v>
          </cell>
          <cell r="F498">
            <v>62.03</v>
          </cell>
          <cell r="G498">
            <v>89.683999999999997</v>
          </cell>
          <cell r="H498">
            <v>26181.13</v>
          </cell>
        </row>
        <row r="499">
          <cell r="B499" t="str">
            <v>6702 JT</v>
          </cell>
          <cell r="C499" t="str">
            <v>FUJITSU LIMITED</v>
          </cell>
          <cell r="D499">
            <v>4069</v>
          </cell>
          <cell r="E499">
            <v>4014</v>
          </cell>
          <cell r="F499">
            <v>4002</v>
          </cell>
          <cell r="G499">
            <v>45.832900000000002</v>
          </cell>
          <cell r="H499">
            <v>7079157.7599999998</v>
          </cell>
        </row>
        <row r="500">
          <cell r="B500" t="str">
            <v>CRDO UW</v>
          </cell>
          <cell r="C500" t="str">
            <v>CREDO TECHNOLOGY GROUP HOLDI</v>
          </cell>
          <cell r="D500">
            <v>218.64</v>
          </cell>
          <cell r="E500">
            <v>215</v>
          </cell>
          <cell r="F500">
            <v>210.17</v>
          </cell>
          <cell r="G500">
            <v>98.635400000000004</v>
          </cell>
          <cell r="H500">
            <v>41093.81</v>
          </cell>
        </row>
        <row r="501">
          <cell r="B501" t="str">
            <v>ACWI UQ</v>
          </cell>
          <cell r="C501" t="str">
            <v>ISHARES MSCI ACWI ETF</v>
          </cell>
          <cell r="D501">
            <v>160.09</v>
          </cell>
          <cell r="E501">
            <v>160.13999999999999</v>
          </cell>
          <cell r="F501">
            <v>158.74</v>
          </cell>
          <cell r="G501">
            <v>14.790699999999999</v>
          </cell>
          <cell r="H501">
            <v>33106.61</v>
          </cell>
        </row>
        <row r="502">
          <cell r="B502" t="str">
            <v>SKHY UQ</v>
          </cell>
          <cell r="C502" t="str">
            <v>SK HYNIX INC-ADR</v>
          </cell>
          <cell r="D502">
            <v>195.13</v>
          </cell>
          <cell r="E502">
            <v>194.29</v>
          </cell>
          <cell r="F502">
            <v>193.5</v>
          </cell>
          <cell r="G502">
            <v>999</v>
          </cell>
          <cell r="H502">
            <v>1425409.75</v>
          </cell>
        </row>
        <row r="503">
          <cell r="B503" t="str">
            <v>NBIS UQ</v>
          </cell>
          <cell r="C503" t="str">
            <v>NEBIUS GROUP NV</v>
          </cell>
          <cell r="D503">
            <v>242.81</v>
          </cell>
          <cell r="E503">
            <v>235.76</v>
          </cell>
          <cell r="F503">
            <v>232.28</v>
          </cell>
          <cell r="G503">
            <v>112.2723</v>
          </cell>
          <cell r="H503">
            <v>69845.56</v>
          </cell>
        </row>
        <row r="504">
          <cell r="B504" t="str">
            <v>CMI UN</v>
          </cell>
          <cell r="C504" t="str">
            <v>CUMMINS INC</v>
          </cell>
          <cell r="D504">
            <v>528.32000000000005</v>
          </cell>
          <cell r="E504">
            <v>522.53</v>
          </cell>
          <cell r="F504">
            <v>517</v>
          </cell>
          <cell r="G504">
            <v>38.5792</v>
          </cell>
          <cell r="H504">
            <v>72730.320000000007</v>
          </cell>
        </row>
        <row r="505">
          <cell r="B505" t="str">
            <v>BSX UN</v>
          </cell>
          <cell r="C505" t="str">
            <v>BOSTON SCIENTIFIC CORP</v>
          </cell>
          <cell r="D505">
            <v>42.6</v>
          </cell>
          <cell r="E505">
            <v>43.4</v>
          </cell>
          <cell r="F505">
            <v>43.23</v>
          </cell>
          <cell r="G505">
            <v>43.508600000000001</v>
          </cell>
          <cell r="H505">
            <v>61737.18</v>
          </cell>
        </row>
        <row r="506">
          <cell r="B506" t="str">
            <v>AMKR UW</v>
          </cell>
          <cell r="C506" t="str">
            <v>AMKOR TECHNOLOGY INC</v>
          </cell>
          <cell r="D506">
            <v>56.02</v>
          </cell>
          <cell r="E506">
            <v>54.774999999999999</v>
          </cell>
          <cell r="F506">
            <v>52.9</v>
          </cell>
          <cell r="G506">
            <v>83.263599999999997</v>
          </cell>
          <cell r="H506">
            <v>13918.31</v>
          </cell>
        </row>
        <row r="507">
          <cell r="B507" t="str">
            <v>AMBA UW</v>
          </cell>
          <cell r="C507" t="str">
            <v>AMBARELLA INC</v>
          </cell>
          <cell r="D507">
            <v>68.650000000000006</v>
          </cell>
          <cell r="E507">
            <v>71.459999999999994</v>
          </cell>
          <cell r="F507">
            <v>70.3</v>
          </cell>
          <cell r="G507">
            <v>76.840999999999994</v>
          </cell>
          <cell r="H507">
            <v>3030.28</v>
          </cell>
        </row>
        <row r="508">
          <cell r="B508" t="str">
            <v>ICE UN</v>
          </cell>
          <cell r="C508" t="str">
            <v>INTERCONTINENTAL EXCHANGE IN</v>
          </cell>
          <cell r="D508">
            <v>150.15</v>
          </cell>
          <cell r="E508">
            <v>151.11000000000001</v>
          </cell>
          <cell r="F508">
            <v>151.47</v>
          </cell>
          <cell r="G508">
            <v>26.716799999999999</v>
          </cell>
          <cell r="H508">
            <v>84293.04</v>
          </cell>
        </row>
        <row r="509">
          <cell r="B509" t="str">
            <v>NDAQ UQ</v>
          </cell>
          <cell r="C509" t="str">
            <v>NASDAQ INC</v>
          </cell>
          <cell r="D509">
            <v>90.33</v>
          </cell>
          <cell r="E509">
            <v>92.18</v>
          </cell>
          <cell r="F509">
            <v>91.67</v>
          </cell>
          <cell r="G509">
            <v>30.212900000000001</v>
          </cell>
          <cell r="H509">
            <v>50492.43</v>
          </cell>
        </row>
        <row r="510">
          <cell r="B510" t="str">
            <v>WYNN UW</v>
          </cell>
          <cell r="C510" t="str">
            <v>WYNN RESORTS LTD</v>
          </cell>
          <cell r="D510">
            <v>75.88</v>
          </cell>
          <cell r="E510">
            <v>78.08</v>
          </cell>
          <cell r="F510">
            <v>77.3</v>
          </cell>
          <cell r="G510">
            <v>31.5106</v>
          </cell>
          <cell r="H510">
            <v>7813.66</v>
          </cell>
        </row>
        <row r="511">
          <cell r="B511" t="str">
            <v>TXN UW</v>
          </cell>
          <cell r="C511" t="str">
            <v>TEXAS INSTRUMENTS</v>
          </cell>
          <cell r="D511">
            <v>293.8</v>
          </cell>
          <cell r="E511">
            <v>290</v>
          </cell>
          <cell r="F511">
            <v>281.31</v>
          </cell>
          <cell r="G511">
            <v>44.953099999999999</v>
          </cell>
          <cell r="H511">
            <v>268312.17</v>
          </cell>
        </row>
        <row r="512">
          <cell r="B512"/>
          <cell r="C512"/>
          <cell r="D512"/>
          <cell r="E512"/>
          <cell r="F512"/>
          <cell r="G512"/>
          <cell r="H512"/>
        </row>
        <row r="513">
          <cell r="B513"/>
          <cell r="C513"/>
          <cell r="D513"/>
          <cell r="E513"/>
          <cell r="F513"/>
          <cell r="G513"/>
          <cell r="H513"/>
        </row>
        <row r="514">
          <cell r="B514"/>
          <cell r="C514"/>
          <cell r="D514"/>
          <cell r="E514"/>
          <cell r="F514"/>
          <cell r="G514"/>
          <cell r="H514"/>
        </row>
        <row r="515">
          <cell r="B515"/>
          <cell r="C515"/>
          <cell r="D515"/>
          <cell r="E515"/>
          <cell r="F515"/>
          <cell r="G515"/>
          <cell r="H515"/>
        </row>
        <row r="516">
          <cell r="B516"/>
          <cell r="C516"/>
          <cell r="D516"/>
          <cell r="E516"/>
          <cell r="F516"/>
          <cell r="G516"/>
          <cell r="H516"/>
        </row>
        <row r="517">
          <cell r="B517"/>
          <cell r="C517"/>
          <cell r="D517"/>
          <cell r="E517"/>
          <cell r="F517"/>
          <cell r="G517"/>
          <cell r="H517"/>
        </row>
        <row r="518">
          <cell r="B518"/>
          <cell r="C518"/>
          <cell r="D518"/>
          <cell r="E518"/>
          <cell r="F518"/>
          <cell r="G518"/>
          <cell r="H518"/>
        </row>
        <row r="519">
          <cell r="B519"/>
          <cell r="C519"/>
          <cell r="D519"/>
          <cell r="E519"/>
          <cell r="F519"/>
          <cell r="G519"/>
          <cell r="H519"/>
        </row>
        <row r="520">
          <cell r="B520"/>
          <cell r="C520"/>
          <cell r="D520"/>
          <cell r="E520"/>
          <cell r="F520"/>
          <cell r="G520"/>
          <cell r="H520"/>
        </row>
        <row r="521">
          <cell r="B521"/>
          <cell r="C521"/>
          <cell r="D521"/>
          <cell r="E521"/>
          <cell r="F521"/>
          <cell r="G521"/>
          <cell r="H521"/>
        </row>
        <row r="522">
          <cell r="B522"/>
          <cell r="C522"/>
          <cell r="D522"/>
          <cell r="E522"/>
          <cell r="F522"/>
          <cell r="G522"/>
          <cell r="H522"/>
        </row>
        <row r="523">
          <cell r="B523"/>
          <cell r="C523"/>
          <cell r="D523"/>
          <cell r="E523"/>
          <cell r="F523"/>
          <cell r="G523"/>
          <cell r="H523"/>
        </row>
        <row r="524">
          <cell r="B524"/>
          <cell r="C524"/>
          <cell r="D524"/>
          <cell r="E524"/>
          <cell r="F524"/>
          <cell r="G524"/>
          <cell r="H524"/>
        </row>
        <row r="525">
          <cell r="B525"/>
          <cell r="C525"/>
          <cell r="D525"/>
          <cell r="E525"/>
          <cell r="F525"/>
          <cell r="G525"/>
          <cell r="H525"/>
        </row>
        <row r="526">
          <cell r="B526"/>
          <cell r="C526"/>
          <cell r="D526"/>
          <cell r="E526"/>
          <cell r="F526"/>
          <cell r="G526"/>
          <cell r="H526"/>
        </row>
        <row r="527">
          <cell r="B527"/>
          <cell r="C527"/>
          <cell r="D527"/>
          <cell r="E527"/>
          <cell r="F527"/>
          <cell r="G527"/>
          <cell r="H527"/>
        </row>
        <row r="528">
          <cell r="B528"/>
          <cell r="C528"/>
          <cell r="D528"/>
          <cell r="E528"/>
          <cell r="F528"/>
          <cell r="G528"/>
          <cell r="H528"/>
        </row>
        <row r="529">
          <cell r="B529"/>
          <cell r="C529"/>
          <cell r="D529"/>
          <cell r="E529"/>
          <cell r="F529"/>
          <cell r="G529"/>
          <cell r="H529"/>
        </row>
        <row r="530">
          <cell r="B530"/>
          <cell r="C530"/>
          <cell r="D530"/>
          <cell r="E530"/>
          <cell r="F530"/>
          <cell r="G530"/>
          <cell r="H530"/>
        </row>
        <row r="531">
          <cell r="B531"/>
          <cell r="C531"/>
          <cell r="D531"/>
          <cell r="E531"/>
          <cell r="F531"/>
          <cell r="G531"/>
          <cell r="H531"/>
        </row>
        <row r="532">
          <cell r="B532"/>
          <cell r="C532"/>
          <cell r="D532"/>
          <cell r="E532"/>
          <cell r="F532"/>
          <cell r="G532"/>
          <cell r="H532"/>
        </row>
        <row r="533">
          <cell r="B533"/>
          <cell r="C533"/>
          <cell r="D533"/>
          <cell r="E533"/>
          <cell r="F533"/>
          <cell r="G533"/>
          <cell r="H533"/>
        </row>
        <row r="534">
          <cell r="B534"/>
          <cell r="C534"/>
          <cell r="D534"/>
          <cell r="E534"/>
          <cell r="F534"/>
          <cell r="G534"/>
          <cell r="H534"/>
        </row>
        <row r="535">
          <cell r="B535"/>
          <cell r="C535"/>
          <cell r="D535"/>
          <cell r="E535"/>
          <cell r="F535"/>
          <cell r="G535"/>
          <cell r="H535"/>
        </row>
        <row r="536">
          <cell r="B536"/>
          <cell r="C536"/>
          <cell r="D536"/>
          <cell r="E536"/>
          <cell r="F536"/>
          <cell r="G536"/>
          <cell r="H536"/>
        </row>
        <row r="537">
          <cell r="B537"/>
          <cell r="C537"/>
          <cell r="D537"/>
          <cell r="E537"/>
          <cell r="F537"/>
          <cell r="G537"/>
          <cell r="H537"/>
        </row>
        <row r="538">
          <cell r="B538"/>
          <cell r="C538"/>
          <cell r="D538"/>
          <cell r="E538"/>
          <cell r="F538"/>
          <cell r="G538"/>
          <cell r="H538"/>
        </row>
        <row r="539">
          <cell r="B539"/>
          <cell r="C539"/>
          <cell r="D539"/>
          <cell r="E539"/>
          <cell r="F539"/>
          <cell r="G539"/>
          <cell r="H539"/>
        </row>
        <row r="540">
          <cell r="B540"/>
          <cell r="C540"/>
          <cell r="D540"/>
          <cell r="E540"/>
          <cell r="F540"/>
          <cell r="G540"/>
          <cell r="H540"/>
        </row>
        <row r="541">
          <cell r="B541"/>
          <cell r="C541"/>
          <cell r="D541"/>
          <cell r="E541"/>
          <cell r="F541"/>
          <cell r="G541"/>
          <cell r="H541"/>
        </row>
        <row r="542">
          <cell r="B542"/>
          <cell r="C542"/>
          <cell r="D542"/>
          <cell r="E542"/>
          <cell r="F542"/>
          <cell r="G542"/>
          <cell r="H542"/>
        </row>
      </sheetData>
      <sheetData sheetId="21"/>
      <sheetData sheetId="22"/>
      <sheetData sheetId="23"/>
      <sheetData sheetId="2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412F849-5D27-4B2F-B195-6625FD14883A}" name="表格1" displayName="表格1" ref="C2:C1014" totalsRowShown="0" headerRowDxfId="21" dataDxfId="20">
  <autoFilter ref="C2:C1014" xr:uid="{00000000-0009-0000-0100-000001000000}"/>
  <sortState xmlns:xlrd2="http://schemas.microsoft.com/office/spreadsheetml/2017/richdata2" ref="C3:C1004">
    <sortCondition ref="C2:C1004"/>
  </sortState>
  <tableColumns count="1">
    <tableColumn id="1" xr3:uid="{F160BCDD-A75D-4876-BDFE-09F4F98777FF}" name="BBG Ticker" dataDxfId="19"/>
  </tableColumns>
  <tableStyleInfo name="TableStyleMedium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D36960D-E6B6-44B5-9383-96DECC7F5E41}" name="表格3" displayName="表格3" ref="G2:J25" totalsRowShown="0" headerRowDxfId="18" dataDxfId="17">
  <autoFilter ref="G2:J25" xr:uid="{00000000-0009-0000-0100-000003000000}"/>
  <tableColumns count="4">
    <tableColumn id="1" xr3:uid="{F264A159-EE2F-4E23-A567-A2F4D94CDE5D}" name="BBG Ticker" dataDxfId="16"/>
    <tableColumn id="2" xr3:uid="{099DD401-B55F-4BEC-9525-F041278828BD}" name="Chinese Name (BNP)" dataDxfId="15"/>
    <tableColumn id="4" xr3:uid="{E5BBED96-29E6-4B90-9023-7607645499FE}" name="English Name (BNP)" dataDxfId="14"/>
    <tableColumn id="3" xr3:uid="{92DC81C4-1A1A-4C08-8406-B69480A33F7E}" name="English Name (CA)" dataDxfId="13"/>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7404AC-EF98-4F9F-8B96-20166D106EE3}" name="表格4" displayName="表格4" ref="M2:N35" totalsRowShown="0" headerRowDxfId="12" dataDxfId="11">
  <autoFilter ref="M2:N35" xr:uid="{00000000-0009-0000-0100-000004000000}"/>
  <tableColumns count="2">
    <tableColumn id="1" xr3:uid="{4D42E4DA-266F-4678-B77F-2113DEF53F61}" name="BBG Ticker" dataDxfId="10"/>
    <tableColumn id="2" xr3:uid="{565C1D7D-5CC1-461E-AC9B-F5B9066C9AB4}" name="Name" dataDxfId="9"/>
  </tableColumns>
  <tableStyleInfo name="TableStyleMedium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42BEDE7-CE02-4B5F-8D58-B62545213098}" name="表格2" displayName="表格2" ref="Q2:R18" totalsRowShown="0" headerRowDxfId="8" dataDxfId="7">
  <autoFilter ref="Q2:R18" xr:uid="{00000000-0009-0000-0100-000002000000}"/>
  <tableColumns count="2">
    <tableColumn id="1" xr3:uid="{32330F3E-A4F8-4127-9981-DDFD7A267BC0}" name="BBG Ticker" dataDxfId="6"/>
    <tableColumn id="2" xr3:uid="{12ED3C69-B137-423D-A6FA-22F9151A5A0A}" name="Name" dataDxfId="5"/>
  </tableColumns>
  <tableStyleInfo name="TableStyleLight2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F3C7562-EEFA-4050-A6A3-50703F13DF9B}" name="表格2_6" displayName="表格2_6" ref="U2:W18" totalsRowShown="0" headerRowDxfId="4" dataDxfId="3">
  <autoFilter ref="U2:W18" xr:uid="{00000000-0009-0000-0100-000005000000}"/>
  <tableColumns count="3">
    <tableColumn id="1" xr3:uid="{7E59027C-F4C7-4AE3-8135-5436D07A5382}" name="BBG Ticker" dataDxfId="2"/>
    <tableColumn id="2" xr3:uid="{A734A6D9-09CC-4A6A-9247-1335C88CD4F3}" name="Einglish Name" dataDxfId="1"/>
    <tableColumn id="3" xr3:uid="{686C5D19-A077-4546-B364-40CBA816536C}" name="Chinese Name" dataDxfId="0"/>
  </tableColumns>
  <tableStyleInfo name="TableStyleMedium26" showFirstColumn="0" showLastColumn="0" showRowStripes="1" showColumnStripes="0"/>
</table>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 Id="rId5" Type="http://schemas.openxmlformats.org/officeDocument/2006/relationships/table" Target="../tables/table5.xml"/><Relationship Id="rId4"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C5C00A-451B-4A21-AD84-AE86BB498544}">
  <sheetPr codeName="工作表1"/>
  <dimension ref="A1:K9"/>
  <sheetViews>
    <sheetView workbookViewId="0">
      <selection activeCell="L8" sqref="L8"/>
    </sheetView>
  </sheetViews>
  <sheetFormatPr defaultRowHeight="15.75"/>
  <cols>
    <col min="1" max="1" width="18.625" bestFit="1" customWidth="1"/>
    <col min="2" max="2" width="18.75" customWidth="1"/>
    <col min="3" max="3" width="9" hidden="1" customWidth="1"/>
    <col min="4" max="5" width="3.75" customWidth="1"/>
    <col min="6" max="6" width="18.625" bestFit="1" customWidth="1"/>
    <col min="7" max="7" width="16.75" customWidth="1"/>
    <col min="8" max="8" width="0" hidden="1" customWidth="1"/>
    <col min="10" max="10" width="23" bestFit="1" customWidth="1"/>
    <col min="11" max="11" width="10.25" bestFit="1" customWidth="1"/>
  </cols>
  <sheetData>
    <row r="1" spans="1:11" ht="16.5">
      <c r="A1" s="2" t="s">
        <v>0</v>
      </c>
      <c r="F1" s="3" t="s">
        <v>8</v>
      </c>
    </row>
    <row r="2" spans="1:11">
      <c r="A2" s="1" t="s">
        <v>2</v>
      </c>
      <c r="B2" t="s">
        <v>1623</v>
      </c>
      <c r="C2" t="s">
        <v>6</v>
      </c>
      <c r="F2" t="s">
        <v>1</v>
      </c>
      <c r="G2" t="s">
        <v>1623</v>
      </c>
      <c r="H2" t="s">
        <v>5</v>
      </c>
      <c r="J2" s="1" t="s">
        <v>103</v>
      </c>
      <c r="K2" s="11" t="str">
        <f ca="1">IF(OR(Term!$A$2="Regular BEN", Term!$A$2="Digital BEN"),
    "BEN",
    Term!$A$2
) &amp; "高齡顧客適合度聲明書_" &amp; Term!$C$2 &amp; "_" &amp; Term!$B$2 &amp; "_" &amp; TEXT(TODAY(), "YYYYMMDD")</f>
        <v>Range Accrual高齡顧客適合度聲明書_JPM_076000010633_20261030</v>
      </c>
    </row>
    <row r="3" spans="1:11">
      <c r="A3" s="1" t="s">
        <v>4</v>
      </c>
      <c r="B3" t="s">
        <v>1624</v>
      </c>
      <c r="C3" t="s">
        <v>7</v>
      </c>
      <c r="F3" t="s">
        <v>3</v>
      </c>
      <c r="G3" t="s">
        <v>1624</v>
      </c>
      <c r="H3" t="s">
        <v>7</v>
      </c>
      <c r="J3" s="1" t="s">
        <v>102</v>
      </c>
      <c r="K3" s="11" t="str">
        <f ca="1">IF(OR(Term!$A$2="Regular BEN",Term!$A$2="Digital BEN"),"BEN",Term!$A$2)
&amp; "境外結構型商品契約說明暨特別約定事項_" &amp; Term!$C$2 &amp; "_" &amp; Term!$B$2 &amp; "_" &amp; TEXT(TODAY(), "YYYYMMDD")</f>
        <v>Range Accrual境外結構型商品契約說明暨特別約定事項_JPM_076000010633_20261030</v>
      </c>
    </row>
    <row r="4" spans="1:11">
      <c r="A4" s="1" t="s">
        <v>1527</v>
      </c>
      <c r="B4">
        <v>0</v>
      </c>
      <c r="C4" t="s">
        <v>15</v>
      </c>
      <c r="F4" s="1" t="s">
        <v>9</v>
      </c>
      <c r="G4" t="s">
        <v>366</v>
      </c>
      <c r="H4" t="s">
        <v>15</v>
      </c>
      <c r="J4" s="1" t="s">
        <v>1429</v>
      </c>
      <c r="K4" s="11" t="str">
        <f ca="1">"境外結構型商品承作檢核表_"&amp; TEXT(TODAY(), "YYYYMMDD")&amp;"_"&amp;Term!$B$2</f>
        <v>境外結構型商品承作檢核表_20261030_076000010633</v>
      </c>
    </row>
    <row r="5" spans="1:11">
      <c r="F5" t="s">
        <v>10</v>
      </c>
      <c r="H5" t="s">
        <v>16</v>
      </c>
    </row>
    <row r="6" spans="1:11">
      <c r="F6" t="s">
        <v>11</v>
      </c>
      <c r="G6" t="s">
        <v>1530</v>
      </c>
      <c r="H6" t="s">
        <v>17</v>
      </c>
    </row>
    <row r="7" spans="1:11">
      <c r="F7" s="1" t="s">
        <v>12</v>
      </c>
      <c r="H7" t="s">
        <v>18</v>
      </c>
      <c r="J7" s="1"/>
      <c r="K7" s="11"/>
    </row>
    <row r="8" spans="1:11">
      <c r="F8" s="1" t="s">
        <v>13</v>
      </c>
      <c r="G8" t="s">
        <v>1530</v>
      </c>
      <c r="H8" t="s">
        <v>19</v>
      </c>
    </row>
    <row r="9" spans="1:11">
      <c r="F9" s="1" t="s">
        <v>14</v>
      </c>
      <c r="G9" t="s">
        <v>1530</v>
      </c>
      <c r="H9" t="s">
        <v>20</v>
      </c>
    </row>
  </sheetData>
  <phoneticPr fontId="2"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7C2331-F57F-4023-922F-6A07EE02EEE6}">
  <sheetPr codeName="工作表2">
    <tabColor theme="5" tint="0.39997558519241921"/>
  </sheetPr>
  <dimension ref="A1:V23"/>
  <sheetViews>
    <sheetView zoomScaleNormal="100" workbookViewId="0">
      <selection activeCell="A2" sqref="A2"/>
    </sheetView>
  </sheetViews>
  <sheetFormatPr defaultRowHeight="15.75"/>
  <cols>
    <col min="1" max="1" width="11.625" customWidth="1"/>
    <col min="2" max="2" width="12.75" bestFit="1" customWidth="1"/>
    <col min="3" max="3" width="7.125" bestFit="1" customWidth="1"/>
    <col min="4" max="4" width="8.625" bestFit="1" customWidth="1"/>
    <col min="5" max="5" width="14.625" bestFit="1" customWidth="1"/>
    <col min="6" max="10" width="12.5" bestFit="1" customWidth="1"/>
    <col min="11" max="11" width="9.625" bestFit="1" customWidth="1"/>
    <col min="12" max="12" width="8.25" bestFit="1" customWidth="1"/>
    <col min="13" max="13" width="13.375" bestFit="1" customWidth="1"/>
    <col min="15" max="15" width="10.875" customWidth="1"/>
    <col min="16" max="16" width="6.75" customWidth="1"/>
    <col min="17" max="17" width="11.375" bestFit="1" customWidth="1"/>
    <col min="18" max="18" width="11.5" bestFit="1" customWidth="1"/>
    <col min="19" max="19" width="6.5" customWidth="1"/>
    <col min="20" max="21" width="8.75" customWidth="1"/>
    <col min="22" max="22" width="11.25" customWidth="1"/>
  </cols>
  <sheetData>
    <row r="1" spans="1:22" ht="75" customHeight="1">
      <c r="A1" s="12" t="s">
        <v>21</v>
      </c>
      <c r="B1" s="13" t="s">
        <v>22</v>
      </c>
      <c r="C1" s="13" t="s">
        <v>38</v>
      </c>
      <c r="D1" s="13" t="s">
        <v>23</v>
      </c>
      <c r="E1" s="13" t="s">
        <v>24</v>
      </c>
      <c r="F1" s="13" t="s">
        <v>25</v>
      </c>
      <c r="G1" s="13" t="s">
        <v>26</v>
      </c>
      <c r="H1" s="13" t="s">
        <v>27</v>
      </c>
      <c r="I1" s="13" t="s">
        <v>28</v>
      </c>
      <c r="J1" s="13" t="s">
        <v>29</v>
      </c>
      <c r="K1" s="13" t="s">
        <v>30</v>
      </c>
      <c r="L1" s="13" t="s">
        <v>31</v>
      </c>
      <c r="M1" s="13" t="s">
        <v>32</v>
      </c>
      <c r="N1" s="13" t="s">
        <v>1432</v>
      </c>
      <c r="O1" s="13" t="s">
        <v>1531</v>
      </c>
      <c r="P1" s="13" t="s">
        <v>33</v>
      </c>
      <c r="Q1" s="13" t="s">
        <v>34</v>
      </c>
      <c r="R1" s="13" t="s">
        <v>35</v>
      </c>
      <c r="S1" s="13" t="s">
        <v>36</v>
      </c>
      <c r="T1" s="93" t="s">
        <v>1533</v>
      </c>
      <c r="U1" s="13" t="s">
        <v>37</v>
      </c>
      <c r="V1" s="81" t="s">
        <v>1532</v>
      </c>
    </row>
    <row r="2" spans="1:22" ht="39" customHeight="1">
      <c r="A2" s="14" t="s">
        <v>290</v>
      </c>
      <c r="B2" s="102" t="s">
        <v>1674</v>
      </c>
      <c r="C2" s="15" t="s">
        <v>60</v>
      </c>
      <c r="D2" s="15" t="s">
        <v>1606</v>
      </c>
      <c r="E2" s="15">
        <v>12</v>
      </c>
      <c r="F2" s="15" t="s">
        <v>1672</v>
      </c>
      <c r="G2" s="15"/>
      <c r="H2" s="15"/>
      <c r="I2" s="15"/>
      <c r="J2" s="15"/>
      <c r="K2" s="15"/>
      <c r="L2" s="15"/>
      <c r="M2" s="15"/>
      <c r="N2" s="15"/>
      <c r="O2" s="15">
        <v>95.4</v>
      </c>
      <c r="P2" s="15">
        <v>10</v>
      </c>
      <c r="Q2" s="15" t="s">
        <v>298</v>
      </c>
      <c r="R2" s="15"/>
      <c r="S2" s="15"/>
      <c r="T2" s="15">
        <v>100</v>
      </c>
      <c r="U2" s="15"/>
      <c r="V2" s="82">
        <v>0</v>
      </c>
    </row>
    <row r="3" spans="1:22">
      <c r="N3" s="80"/>
    </row>
    <row r="4" spans="1:22">
      <c r="A4" s="127" t="s">
        <v>1604</v>
      </c>
      <c r="B4" s="128"/>
      <c r="C4" s="128"/>
      <c r="D4" s="128"/>
    </row>
    <row r="5" spans="1:22">
      <c r="A5" s="128"/>
      <c r="B5" s="128"/>
      <c r="C5" s="128"/>
      <c r="D5" s="128"/>
      <c r="M5" s="123" t="s">
        <v>1484</v>
      </c>
      <c r="N5" s="124"/>
      <c r="O5" s="87">
        <v>46317</v>
      </c>
    </row>
    <row r="6" spans="1:22">
      <c r="A6" s="101"/>
      <c r="B6" s="9"/>
      <c r="C6" s="9"/>
      <c r="D6" s="9"/>
      <c r="M6" s="123" t="s">
        <v>1477</v>
      </c>
      <c r="N6" s="124"/>
      <c r="O6" s="87">
        <v>46324</v>
      </c>
      <c r="P6" s="89" t="s">
        <v>1478</v>
      </c>
      <c r="Q6" s="90">
        <v>7</v>
      </c>
      <c r="R6" s="91" t="s">
        <v>1479</v>
      </c>
    </row>
    <row r="7" spans="1:22">
      <c r="A7" s="129" t="s">
        <v>1605</v>
      </c>
      <c r="B7" s="130"/>
      <c r="C7" s="130"/>
      <c r="D7" s="130"/>
      <c r="E7" s="130"/>
      <c r="F7" s="130"/>
      <c r="M7" s="123" t="s">
        <v>1480</v>
      </c>
      <c r="N7" s="124"/>
      <c r="O7" s="87">
        <v>49977</v>
      </c>
    </row>
    <row r="8" spans="1:22">
      <c r="A8" s="130"/>
      <c r="B8" s="130"/>
      <c r="C8" s="130"/>
      <c r="D8" s="130"/>
      <c r="E8" s="130"/>
      <c r="F8" s="130"/>
      <c r="M8" s="123" t="s">
        <v>1481</v>
      </c>
      <c r="N8" s="124"/>
      <c r="O8" s="87">
        <v>49977</v>
      </c>
    </row>
    <row r="9" spans="1:22">
      <c r="M9" s="125" t="s">
        <v>1483</v>
      </c>
      <c r="N9" s="126"/>
      <c r="O9" s="84"/>
    </row>
    <row r="10" spans="1:22">
      <c r="A10" s="122" t="s">
        <v>302</v>
      </c>
      <c r="B10" s="122"/>
      <c r="C10" s="122"/>
      <c r="D10" s="122"/>
      <c r="E10" s="122"/>
      <c r="F10" s="122"/>
      <c r="M10" s="123" t="s">
        <v>1482</v>
      </c>
      <c r="N10" s="124"/>
      <c r="O10" s="84"/>
    </row>
    <row r="11" spans="1:22">
      <c r="A11" s="122"/>
      <c r="B11" s="122"/>
      <c r="C11" s="122"/>
      <c r="D11" s="122"/>
      <c r="E11" s="122"/>
      <c r="F11" s="122"/>
    </row>
    <row r="12" spans="1:22">
      <c r="A12" s="122"/>
      <c r="B12" s="122"/>
      <c r="C12" s="122"/>
      <c r="D12" s="122"/>
      <c r="E12" s="122"/>
      <c r="F12" s="122"/>
    </row>
    <row r="14" spans="1:22">
      <c r="A14" s="122" t="s">
        <v>1534</v>
      </c>
      <c r="B14" s="122"/>
      <c r="C14" s="122"/>
      <c r="D14" s="122"/>
      <c r="E14" s="122"/>
      <c r="F14" s="122"/>
      <c r="G14" s="122"/>
      <c r="H14" s="122"/>
      <c r="M14" s="83"/>
    </row>
    <row r="15" spans="1:22">
      <c r="A15" s="122"/>
      <c r="B15" s="122"/>
      <c r="C15" s="122"/>
      <c r="D15" s="122"/>
      <c r="E15" s="122"/>
      <c r="F15" s="122"/>
      <c r="G15" s="122"/>
      <c r="H15" s="122"/>
    </row>
    <row r="16" spans="1:22">
      <c r="A16" s="122"/>
      <c r="B16" s="122"/>
      <c r="C16" s="122"/>
      <c r="D16" s="122"/>
      <c r="E16" s="122"/>
      <c r="F16" s="122"/>
      <c r="G16" s="122"/>
      <c r="H16" s="122"/>
    </row>
    <row r="17" spans="1:8" ht="15.75" customHeight="1">
      <c r="A17" s="122"/>
      <c r="B17" s="122"/>
      <c r="C17" s="122"/>
      <c r="D17" s="122"/>
      <c r="E17" s="122"/>
      <c r="F17" s="122"/>
      <c r="G17" s="122"/>
      <c r="H17" s="122"/>
    </row>
    <row r="19" spans="1:8">
      <c r="D19" s="96" t="s">
        <v>288</v>
      </c>
      <c r="E19" s="96" t="s">
        <v>288</v>
      </c>
      <c r="F19" s="96" t="s">
        <v>288</v>
      </c>
      <c r="G19" s="96" t="s">
        <v>288</v>
      </c>
    </row>
    <row r="20" spans="1:8">
      <c r="D20" s="96" t="s">
        <v>288</v>
      </c>
      <c r="E20" s="96" t="s">
        <v>288</v>
      </c>
      <c r="F20" s="96" t="s">
        <v>288</v>
      </c>
      <c r="G20" s="96" t="s">
        <v>288</v>
      </c>
    </row>
    <row r="21" spans="1:8">
      <c r="D21" s="96" t="s">
        <v>288</v>
      </c>
      <c r="E21" s="96" t="s">
        <v>288</v>
      </c>
      <c r="F21" s="96" t="s">
        <v>288</v>
      </c>
      <c r="G21" s="96" t="s">
        <v>288</v>
      </c>
    </row>
    <row r="22" spans="1:8">
      <c r="D22" s="96" t="s">
        <v>288</v>
      </c>
      <c r="E22" s="96" t="s">
        <v>288</v>
      </c>
      <c r="F22" s="96" t="s">
        <v>288</v>
      </c>
      <c r="G22" s="96" t="s">
        <v>288</v>
      </c>
    </row>
    <row r="23" spans="1:8">
      <c r="D23" s="96" t="s">
        <v>288</v>
      </c>
      <c r="E23" s="96" t="s">
        <v>288</v>
      </c>
      <c r="F23" s="96" t="s">
        <v>288</v>
      </c>
      <c r="G23" s="96" t="s">
        <v>288</v>
      </c>
    </row>
  </sheetData>
  <mergeCells count="10">
    <mergeCell ref="A14:H17"/>
    <mergeCell ref="M5:N5"/>
    <mergeCell ref="M6:N6"/>
    <mergeCell ref="M7:N7"/>
    <mergeCell ref="M8:N8"/>
    <mergeCell ref="M9:N9"/>
    <mergeCell ref="M10:N10"/>
    <mergeCell ref="A10:F12"/>
    <mergeCell ref="A4:D5"/>
    <mergeCell ref="A7:F8"/>
  </mergeCells>
  <phoneticPr fontId="2" type="noConversion"/>
  <dataValidations count="1">
    <dataValidation type="list" allowBlank="1" showInputMessage="1" showErrorMessage="1" sqref="Q2" xr:uid="{896EE3DB-CEFB-4985-B910-181E2A93F24A}">
      <formula1>"M,Y"</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Additem.Additem">
                <anchor moveWithCells="1" sizeWithCells="1">
                  <from>
                    <xdr:col>6</xdr:col>
                    <xdr:colOff>314325</xdr:colOff>
                    <xdr:row>3</xdr:row>
                    <xdr:rowOff>123825</xdr:rowOff>
                  </from>
                  <to>
                    <xdr:col>7</xdr:col>
                    <xdr:colOff>409575</xdr:colOff>
                    <xdr:row>6</xdr:row>
                    <xdr:rowOff>0</xdr:rowOff>
                  </to>
                </anchor>
              </controlPr>
            </control>
          </mc:Choice>
        </mc:AlternateContent>
        <mc:AlternateContent xmlns:mc="http://schemas.openxmlformats.org/markup-compatibility/2006">
          <mc:Choice Requires="x14">
            <control shapeId="2051" r:id="rId5" name="Button 3">
              <controlPr defaultSize="0" print="0" autoFill="0" autoPict="0" macro="[0]!Export_All_In_One">
                <anchor moveWithCells="1" sizeWithCells="1">
                  <from>
                    <xdr:col>6</xdr:col>
                    <xdr:colOff>314325</xdr:colOff>
                    <xdr:row>7</xdr:row>
                    <xdr:rowOff>66675</xdr:rowOff>
                  </from>
                  <to>
                    <xdr:col>7</xdr:col>
                    <xdr:colOff>409575</xdr:colOff>
                    <xdr:row>9</xdr:row>
                    <xdr:rowOff>142875</xdr:rowOff>
                  </to>
                </anchor>
              </controlPr>
            </control>
          </mc:Choice>
        </mc:AlternateContent>
        <mc:AlternateContent xmlns:mc="http://schemas.openxmlformats.org/markup-compatibility/2006">
          <mc:Choice Requires="x14">
            <control shapeId="2054" r:id="rId6" name="Button 6">
              <controlPr defaultSize="0" print="0" autoFill="0" autoPict="0" macro="[0]!Clear_Term_Range">
                <anchor moveWithCells="1" sizeWithCells="1">
                  <from>
                    <xdr:col>9</xdr:col>
                    <xdr:colOff>38100</xdr:colOff>
                    <xdr:row>5</xdr:row>
                    <xdr:rowOff>38100</xdr:rowOff>
                  </from>
                  <to>
                    <xdr:col>9</xdr:col>
                    <xdr:colOff>942975</xdr:colOff>
                    <xdr:row>7</xdr:row>
                    <xdr:rowOff>47625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6792E68D-16B1-4803-A21F-F22799D6EE77}">
          <x14:formula1>
            <xm:f>Variable!$D$2:$D$21</xm:f>
          </x14:formula1>
          <xm:sqref>A2</xm:sqref>
        </x14:dataValidation>
        <x14:dataValidation type="list" allowBlank="1" showInputMessage="1" showErrorMessage="1" xr:uid="{F2C36B71-2DC1-4366-ACAF-979E5D6233F1}">
          <x14:formula1>
            <xm:f>Variable!$E$2:$E$11</xm:f>
          </x14:formula1>
          <xm:sqref>D2</xm:sqref>
        </x14:dataValidation>
        <x14:dataValidation type="list" allowBlank="1" showInputMessage="1" showErrorMessage="1" xr:uid="{94740CE9-BBD5-4A35-9ABC-68548997C4C9}">
          <x14:formula1>
            <xm:f>Variable!$C$2:$C$5</xm:f>
          </x14:formula1>
          <xm:sqref>L2</xm:sqref>
        </x14:dataValidation>
        <x14:dataValidation type="list" allowBlank="1" showInputMessage="1" showErrorMessage="1" xr:uid="{663085CF-81B0-4196-87C8-C9EC21339DFB}">
          <x14:formula1>
            <xm:f>Variable!$G$2:$G$4</xm:f>
          </x14:formula1>
          <xm:sqref>R2</xm:sqref>
        </x14:dataValidation>
        <x14:dataValidation type="list" allowBlank="1" showInputMessage="1" showErrorMessage="1" xr:uid="{E67D38EE-C366-4764-B59A-756693B976A5}">
          <x14:formula1>
            <xm:f>Variable!$H$2:$H$7</xm:f>
          </x14:formula1>
          <xm:sqref>O9</xm:sqref>
        </x14:dataValidation>
        <x14:dataValidation type="list" allowBlank="1" showInputMessage="1" showErrorMessage="1" xr:uid="{9A0AC339-57B1-48E1-AD1A-00127AC1E997}">
          <x14:formula1>
            <xm:f>Variable!$I$2:$I$20</xm:f>
          </x14:formula1>
          <xm:sqref>O10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DA19C8-E891-4229-BBE7-02775A6B5D7E}">
  <sheetPr codeName="工作表8">
    <tabColor rgb="FF0070C0"/>
  </sheetPr>
  <dimension ref="A1:H22"/>
  <sheetViews>
    <sheetView tabSelected="1" workbookViewId="0">
      <selection activeCell="E5" sqref="E5"/>
    </sheetView>
  </sheetViews>
  <sheetFormatPr defaultRowHeight="15.75"/>
  <cols>
    <col min="1" max="1" width="28.625" customWidth="1"/>
    <col min="3" max="3" width="22.625" customWidth="1"/>
    <col min="4" max="4" width="26.625" customWidth="1"/>
    <col min="5" max="5" width="16.625" customWidth="1"/>
    <col min="23" max="24" width="13.875" bestFit="1" customWidth="1"/>
    <col min="25" max="25" width="12.5" bestFit="1" customWidth="1"/>
    <col min="26" max="26" width="11.125" bestFit="1" customWidth="1"/>
  </cols>
  <sheetData>
    <row r="1" spans="1:8" ht="18.75">
      <c r="A1" s="103" t="s">
        <v>1627</v>
      </c>
    </row>
    <row r="3" spans="1:8">
      <c r="A3" t="s">
        <v>1628</v>
      </c>
      <c r="C3" s="105"/>
    </row>
    <row r="4" spans="1:8">
      <c r="A4" t="s">
        <v>1629</v>
      </c>
      <c r="C4" t="s">
        <v>1683</v>
      </c>
    </row>
    <row r="5" spans="1:8">
      <c r="A5" t="s">
        <v>1631</v>
      </c>
      <c r="C5" s="106" t="s">
        <v>1674</v>
      </c>
      <c r="D5" t="s">
        <v>1668</v>
      </c>
      <c r="E5" s="105" t="s">
        <v>290</v>
      </c>
    </row>
    <row r="6" spans="1:8">
      <c r="A6" s="104" t="s">
        <v>1630</v>
      </c>
    </row>
    <row r="7" spans="1:8">
      <c r="A7" s="118" t="s">
        <v>1675</v>
      </c>
    </row>
    <row r="8" spans="1:8" ht="15.75" customHeight="1">
      <c r="A8" s="118" t="s">
        <v>1676</v>
      </c>
    </row>
    <row r="9" spans="1:8">
      <c r="A9" s="118" t="s">
        <v>1677</v>
      </c>
    </row>
    <row r="10" spans="1:8">
      <c r="A10" s="118" t="s">
        <v>1678</v>
      </c>
    </row>
    <row r="11" spans="1:8">
      <c r="A11" s="118" t="s">
        <v>1652</v>
      </c>
    </row>
    <row r="12" spans="1:8">
      <c r="A12" s="118" t="s">
        <v>1653</v>
      </c>
    </row>
    <row r="13" spans="1:8">
      <c r="A13" s="117"/>
    </row>
    <row r="14" spans="1:8" ht="16.5" thickBot="1">
      <c r="A14" s="117"/>
    </row>
    <row r="15" spans="1:8" ht="47.25">
      <c r="A15" s="139" t="s">
        <v>1654</v>
      </c>
      <c r="B15" s="139" t="s">
        <v>1655</v>
      </c>
      <c r="C15" s="139" t="s">
        <v>23</v>
      </c>
      <c r="D15" s="135" t="s">
        <v>1656</v>
      </c>
      <c r="E15" s="139" t="s">
        <v>1657</v>
      </c>
      <c r="F15" s="135" t="s">
        <v>1670</v>
      </c>
      <c r="G15" s="139" t="s">
        <v>1658</v>
      </c>
      <c r="H15" s="139" t="s">
        <v>1659</v>
      </c>
    </row>
    <row r="16" spans="1:8" ht="48" thickBot="1">
      <c r="A16" s="140"/>
      <c r="B16" s="140"/>
      <c r="C16" s="140"/>
      <c r="D16" s="136" t="s">
        <v>1669</v>
      </c>
      <c r="E16" s="140"/>
      <c r="F16" s="137" t="s">
        <v>1671</v>
      </c>
      <c r="G16" s="140"/>
      <c r="H16" s="140"/>
    </row>
    <row r="17" spans="1:8" ht="16.5" customHeight="1">
      <c r="A17" s="141" t="s">
        <v>1679</v>
      </c>
      <c r="B17" s="143">
        <v>10</v>
      </c>
      <c r="C17" s="141" t="s">
        <v>74</v>
      </c>
      <c r="D17" s="138" t="s">
        <v>1680</v>
      </c>
      <c r="E17" s="141" t="s">
        <v>1682</v>
      </c>
      <c r="F17" s="146">
        <v>0.25</v>
      </c>
      <c r="G17" s="141" t="s">
        <v>1660</v>
      </c>
      <c r="H17" s="148">
        <v>4.5999999999999999E-2</v>
      </c>
    </row>
    <row r="18" spans="1:8" ht="15.75" customHeight="1" thickBot="1">
      <c r="A18" s="142"/>
      <c r="B18" s="144"/>
      <c r="C18" s="142"/>
      <c r="D18" s="145" t="s">
        <v>1681</v>
      </c>
      <c r="E18" s="142"/>
      <c r="F18" s="147"/>
      <c r="G18" s="142"/>
      <c r="H18" s="149"/>
    </row>
    <row r="19" spans="1:8">
      <c r="A19" s="117"/>
    </row>
    <row r="22" spans="1:8" ht="15.75" customHeight="1"/>
  </sheetData>
  <mergeCells count="13">
    <mergeCell ref="H15:H16"/>
    <mergeCell ref="A17:A18"/>
    <mergeCell ref="B17:B18"/>
    <mergeCell ref="C17:C18"/>
    <mergeCell ref="E17:E18"/>
    <mergeCell ref="F17:F18"/>
    <mergeCell ref="G17:G18"/>
    <mergeCell ref="H17:H18"/>
    <mergeCell ref="A15:A16"/>
    <mergeCell ref="B15:B16"/>
    <mergeCell ref="C15:C16"/>
    <mergeCell ref="E15:E16"/>
    <mergeCell ref="G15:G16"/>
  </mergeCells>
  <phoneticPr fontId="2" type="noConversion"/>
  <dataValidations count="1">
    <dataValidation type="list" allowBlank="1" showInputMessage="1" showErrorMessage="1" sqref="E5" xr:uid="{D4F2DC67-4805-4008-8B6F-37B4E1A06463}">
      <formula1>"Range Accrual"</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27" r:id="rId3" name="Button 15">
              <controlPr defaultSize="0" print="0" autoFill="0" autoPict="0" macro="[0]!OrderFill_Clear">
                <anchor moveWithCells="1" sizeWithCells="1">
                  <from>
                    <xdr:col>4</xdr:col>
                    <xdr:colOff>0</xdr:colOff>
                    <xdr:row>0</xdr:row>
                    <xdr:rowOff>0</xdr:rowOff>
                  </from>
                  <to>
                    <xdr:col>4</xdr:col>
                    <xdr:colOff>1143000</xdr:colOff>
                    <xdr:row>1</xdr:row>
                    <xdr:rowOff>142875</xdr:rowOff>
                  </to>
                </anchor>
              </controlPr>
            </control>
          </mc:Choice>
        </mc:AlternateContent>
        <mc:AlternateContent xmlns:mc="http://schemas.openxmlformats.org/markup-compatibility/2006">
          <mc:Choice Requires="x14">
            <control shapeId="13328" r:id="rId4" name="Button 16">
              <controlPr defaultSize="0" print="0" autoFill="0" autoPict="0" macro="[0]!OrderFill_Fill">
                <anchor moveWithCells="1" sizeWithCells="1">
                  <from>
                    <xdr:col>5</xdr:col>
                    <xdr:colOff>0</xdr:colOff>
                    <xdr:row>0</xdr:row>
                    <xdr:rowOff>0</xdr:rowOff>
                  </from>
                  <to>
                    <xdr:col>6</xdr:col>
                    <xdr:colOff>457200</xdr:colOff>
                    <xdr:row>1</xdr:row>
                    <xdr:rowOff>142875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AC483B15-295C-4967-8BD6-1C3D649FB10A}">
          <x14:formula1>
            <xm:f>Variable!$B$2:$B$16</xm:f>
          </x14:formula1>
          <xm:sqref>C3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F12A8E-D494-45CD-904C-1585F4A6263C}">
  <sheetPr codeName="工作表3"/>
  <dimension ref="A1:I21"/>
  <sheetViews>
    <sheetView workbookViewId="0"/>
  </sheetViews>
  <sheetFormatPr defaultRowHeight="15.75"/>
  <cols>
    <col min="1" max="1" width="10.875" bestFit="1" customWidth="1"/>
    <col min="2" max="2" width="9.5" bestFit="1" customWidth="1"/>
    <col min="3" max="3" width="18" bestFit="1" customWidth="1"/>
    <col min="4" max="4" width="26.875" bestFit="1" customWidth="1"/>
    <col min="5" max="5" width="8.625" bestFit="1" customWidth="1"/>
    <col min="6" max="6" width="6.125" bestFit="1" customWidth="1"/>
    <col min="7" max="7" width="11.125" bestFit="1" customWidth="1"/>
    <col min="8" max="8" width="11.75" customWidth="1"/>
  </cols>
  <sheetData>
    <row r="1" spans="1:9">
      <c r="A1" t="s">
        <v>39</v>
      </c>
      <c r="B1" t="s">
        <v>40</v>
      </c>
      <c r="C1" s="4" t="s">
        <v>67</v>
      </c>
      <c r="D1" s="5" t="s">
        <v>68</v>
      </c>
      <c r="E1" s="6" t="s">
        <v>69</v>
      </c>
      <c r="F1" s="7" t="s">
        <v>70</v>
      </c>
      <c r="G1" s="8" t="s">
        <v>71</v>
      </c>
      <c r="H1" s="1" t="s">
        <v>1483</v>
      </c>
      <c r="I1" t="s">
        <v>1504</v>
      </c>
    </row>
    <row r="2" spans="1:9">
      <c r="A2" t="s">
        <v>41</v>
      </c>
      <c r="B2" t="s">
        <v>42</v>
      </c>
      <c r="C2" s="9" t="s">
        <v>72</v>
      </c>
      <c r="D2" s="10" t="s">
        <v>73</v>
      </c>
      <c r="E2" s="9" t="s">
        <v>74</v>
      </c>
      <c r="F2" s="9" t="s">
        <v>75</v>
      </c>
      <c r="G2" s="9" t="s">
        <v>76</v>
      </c>
      <c r="H2" t="s">
        <v>1521</v>
      </c>
      <c r="I2" t="s">
        <v>1505</v>
      </c>
    </row>
    <row r="3" spans="1:9">
      <c r="A3" t="s">
        <v>43</v>
      </c>
      <c r="B3" t="s">
        <v>44</v>
      </c>
      <c r="C3" s="9" t="s">
        <v>77</v>
      </c>
      <c r="D3" s="10" t="s">
        <v>78</v>
      </c>
      <c r="E3" s="9" t="s">
        <v>79</v>
      </c>
      <c r="F3" s="9" t="s">
        <v>80</v>
      </c>
      <c r="G3" s="9" t="s">
        <v>81</v>
      </c>
      <c r="H3" t="s">
        <v>1522</v>
      </c>
      <c r="I3" t="s">
        <v>1506</v>
      </c>
    </row>
    <row r="4" spans="1:9">
      <c r="A4" t="s">
        <v>45</v>
      </c>
      <c r="B4" t="s">
        <v>46</v>
      </c>
      <c r="C4" s="9" t="s">
        <v>82</v>
      </c>
      <c r="D4" s="10" t="s">
        <v>83</v>
      </c>
      <c r="E4" s="9" t="s">
        <v>84</v>
      </c>
      <c r="F4" s="9"/>
      <c r="G4" s="9" t="s">
        <v>85</v>
      </c>
      <c r="H4" t="s">
        <v>288</v>
      </c>
      <c r="I4" t="s">
        <v>1507</v>
      </c>
    </row>
    <row r="5" spans="1:9">
      <c r="A5" t="s">
        <v>47</v>
      </c>
      <c r="B5" t="s">
        <v>48</v>
      </c>
      <c r="C5" s="9" t="s">
        <v>86</v>
      </c>
      <c r="D5" s="10" t="s">
        <v>87</v>
      </c>
      <c r="E5" s="9" t="s">
        <v>88</v>
      </c>
      <c r="F5" s="9"/>
      <c r="G5" s="9"/>
      <c r="H5" t="s">
        <v>1523</v>
      </c>
      <c r="I5" t="s">
        <v>1508</v>
      </c>
    </row>
    <row r="6" spans="1:9">
      <c r="A6" t="s">
        <v>49</v>
      </c>
      <c r="B6" t="s">
        <v>50</v>
      </c>
      <c r="C6" s="9"/>
      <c r="D6" s="10" t="s">
        <v>89</v>
      </c>
      <c r="E6" s="9" t="s">
        <v>90</v>
      </c>
      <c r="F6" s="9"/>
      <c r="G6" s="9"/>
      <c r="H6" t="s">
        <v>1524</v>
      </c>
      <c r="I6" t="s">
        <v>1509</v>
      </c>
    </row>
    <row r="7" spans="1:9">
      <c r="A7" t="s">
        <v>51</v>
      </c>
      <c r="B7" t="s">
        <v>52</v>
      </c>
      <c r="C7" s="9"/>
      <c r="D7" s="10" t="s">
        <v>91</v>
      </c>
      <c r="E7" s="9" t="s">
        <v>92</v>
      </c>
      <c r="F7" s="9"/>
      <c r="G7" s="9"/>
      <c r="H7" s="1" t="s">
        <v>1525</v>
      </c>
      <c r="I7" t="s">
        <v>1510</v>
      </c>
    </row>
    <row r="8" spans="1:9">
      <c r="A8" t="s">
        <v>53</v>
      </c>
      <c r="B8" t="s">
        <v>54</v>
      </c>
      <c r="C8" s="9"/>
      <c r="D8" s="10" t="s">
        <v>93</v>
      </c>
      <c r="E8" s="9" t="s">
        <v>94</v>
      </c>
      <c r="F8" s="9"/>
      <c r="G8" s="9"/>
      <c r="I8" t="s">
        <v>1511</v>
      </c>
    </row>
    <row r="9" spans="1:9">
      <c r="A9" t="s">
        <v>55</v>
      </c>
      <c r="B9" t="s">
        <v>56</v>
      </c>
      <c r="C9" s="9"/>
      <c r="D9" s="10" t="s">
        <v>95</v>
      </c>
      <c r="E9" s="9" t="s">
        <v>96</v>
      </c>
      <c r="F9" s="9"/>
      <c r="G9" s="9"/>
      <c r="I9" t="s">
        <v>1512</v>
      </c>
    </row>
    <row r="10" spans="1:9">
      <c r="A10" t="s">
        <v>57</v>
      </c>
      <c r="B10" t="s">
        <v>58</v>
      </c>
      <c r="C10" s="9"/>
      <c r="D10" s="10" t="s">
        <v>104</v>
      </c>
      <c r="E10" s="9" t="s">
        <v>100</v>
      </c>
      <c r="F10" s="9"/>
      <c r="G10" s="9"/>
      <c r="I10" t="s">
        <v>1513</v>
      </c>
    </row>
    <row r="11" spans="1:9">
      <c r="A11" t="s">
        <v>59</v>
      </c>
      <c r="B11" t="s">
        <v>60</v>
      </c>
      <c r="C11" s="9"/>
      <c r="D11" s="10" t="s">
        <v>105</v>
      </c>
      <c r="E11" s="9" t="s">
        <v>101</v>
      </c>
      <c r="F11" s="9"/>
      <c r="G11" s="9"/>
      <c r="I11" t="s">
        <v>1514</v>
      </c>
    </row>
    <row r="12" spans="1:9">
      <c r="A12" t="s">
        <v>61</v>
      </c>
      <c r="B12" t="s">
        <v>62</v>
      </c>
      <c r="C12" s="9"/>
      <c r="D12" s="9" t="s">
        <v>98</v>
      </c>
      <c r="E12" s="9"/>
      <c r="F12" s="9"/>
      <c r="G12" s="9"/>
      <c r="I12" t="s">
        <v>1515</v>
      </c>
    </row>
    <row r="13" spans="1:9">
      <c r="A13" t="s">
        <v>63</v>
      </c>
      <c r="B13" t="s">
        <v>64</v>
      </c>
      <c r="C13" s="9"/>
      <c r="D13" s="9" t="s">
        <v>99</v>
      </c>
      <c r="E13" s="9"/>
      <c r="F13" s="9"/>
      <c r="G13" s="9"/>
      <c r="I13" t="s">
        <v>1516</v>
      </c>
    </row>
    <row r="14" spans="1:9">
      <c r="A14" t="s">
        <v>65</v>
      </c>
      <c r="B14" t="s">
        <v>66</v>
      </c>
      <c r="C14" s="9"/>
      <c r="D14" s="10" t="s">
        <v>97</v>
      </c>
      <c r="E14" s="9"/>
      <c r="F14" s="9"/>
      <c r="G14" s="9"/>
      <c r="I14" t="s">
        <v>1517</v>
      </c>
    </row>
    <row r="15" spans="1:9">
      <c r="A15" s="92" t="s">
        <v>1558</v>
      </c>
      <c r="B15" t="s">
        <v>1560</v>
      </c>
      <c r="D15" s="9" t="s">
        <v>98</v>
      </c>
      <c r="I15" t="s">
        <v>1518</v>
      </c>
    </row>
    <row r="16" spans="1:9">
      <c r="A16" s="92" t="s">
        <v>1587</v>
      </c>
      <c r="B16" t="s">
        <v>1589</v>
      </c>
      <c r="D16" s="9" t="s">
        <v>99</v>
      </c>
      <c r="I16" t="s">
        <v>1519</v>
      </c>
    </row>
    <row r="17" spans="4:9">
      <c r="D17" s="9" t="s">
        <v>1557</v>
      </c>
      <c r="I17" t="s">
        <v>1520</v>
      </c>
    </row>
    <row r="18" spans="4:9">
      <c r="D18" s="9" t="s">
        <v>1579</v>
      </c>
      <c r="I18" t="s">
        <v>1577</v>
      </c>
    </row>
    <row r="19" spans="4:9">
      <c r="D19" s="9" t="s">
        <v>1574</v>
      </c>
      <c r="I19" s="1" t="s">
        <v>1526</v>
      </c>
    </row>
    <row r="20" spans="4:9">
      <c r="D20" s="9" t="s">
        <v>1575</v>
      </c>
      <c r="I20" s="1"/>
    </row>
    <row r="21" spans="4:9">
      <c r="D21" s="9" t="s">
        <v>1576</v>
      </c>
    </row>
  </sheetData>
  <phoneticPr fontId="2"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AE6D02-18AD-43C2-AA90-54880F714FDC}">
  <sheetPr codeName="工作表4"/>
  <dimension ref="B2:L195"/>
  <sheetViews>
    <sheetView zoomScale="85" zoomScaleNormal="85" workbookViewId="0"/>
  </sheetViews>
  <sheetFormatPr defaultRowHeight="15.75"/>
  <cols>
    <col min="6" max="6" width="12.875" bestFit="1" customWidth="1"/>
    <col min="8" max="8" width="26.875" bestFit="1" customWidth="1"/>
    <col min="9" max="9" width="15.875" bestFit="1" customWidth="1"/>
    <col min="10" max="10" width="11.625" customWidth="1"/>
    <col min="11" max="11" width="141.625" customWidth="1"/>
    <col min="12" max="12" width="178.5" bestFit="1" customWidth="1"/>
  </cols>
  <sheetData>
    <row r="2" spans="2:12">
      <c r="B2" t="s">
        <v>106</v>
      </c>
      <c r="C2" t="s">
        <v>1673</v>
      </c>
      <c r="D2" t="str" cm="1">
        <f t="array" ref="D2">IF(Term!$Q$2="Y", ArabicToChinese(Term!$P$2)&amp;"年期", IF(Term!$Q$2="M", ArabicToChinese(Term!$P$2)&amp;"個月", ""))</f>
        <v>十年期</v>
      </c>
      <c r="E2">
        <f>Term!$P$2*12</f>
        <v>120</v>
      </c>
      <c r="F2" t="s">
        <v>107</v>
      </c>
    </row>
    <row r="3" spans="2:12">
      <c r="B3" t="s">
        <v>108</v>
      </c>
      <c r="C3" t="s">
        <v>1608</v>
      </c>
    </row>
    <row r="4" spans="2:12">
      <c r="B4" t="s">
        <v>109</v>
      </c>
      <c r="C4" t="str">
        <f>ArabicToChinese(Term!$E$2)</f>
        <v>十二</v>
      </c>
    </row>
    <row r="6" spans="2:12">
      <c r="B6" t="s">
        <v>1607</v>
      </c>
      <c r="C6" t="str" cm="1">
        <f t="array" ref="C6">_xlfn.LET(
_xlpm.tag,IF(Term!$F$2:$J$2="","",MID(Term!$F$2:$J$2,FIND(" ",Term!$F$2:$J$2&amp;" ")+1,1)),
_xlpm.hasUS,SUMPRODUCT(--(_xlpm.tag="U"))&gt;0,
_xlpm.hasJP,SUMPRODUCT(--(_xlpm.tag="J"))&gt;0,
_xlpm.hasHK,SUMPRODUCT(--(_xlpm.tag="H"))&gt;0,
_xlpm.marketCount,--_xlpm.hasUS+--_xlpm.hasJP+--_xlpm.hasHK,
IF(COUNTA(Term!$F$2:$J$2)=0,"",
   IF(_xlpm.marketCount&gt;1,"Quanto",
      IF(_xlpm.hasUS,IF(Term!$D$2&lt;&gt;"USD","Quanto",""),
         IF(_xlpm.hasJP,IF(Term!$D$2&lt;&gt;"JPY","Quanto",""),
            IF(_xlpm.hasHK,IF(Term!$D$2&lt;&gt;"HKD","Quanto",""),"")
         )))))</f>
        <v/>
      </c>
    </row>
    <row r="8" spans="2:12">
      <c r="F8" t="s">
        <v>39</v>
      </c>
      <c r="G8" t="s">
        <v>280</v>
      </c>
      <c r="H8" t="s">
        <v>281</v>
      </c>
      <c r="I8" t="s">
        <v>282</v>
      </c>
      <c r="J8" t="s">
        <v>283</v>
      </c>
      <c r="K8" t="s">
        <v>284</v>
      </c>
      <c r="L8" t="s">
        <v>285</v>
      </c>
    </row>
    <row r="9" spans="2:12">
      <c r="F9" t="s">
        <v>41</v>
      </c>
      <c r="G9" t="s">
        <v>42</v>
      </c>
      <c r="H9" t="s">
        <v>286</v>
      </c>
      <c r="J9" t="e">
        <f>IF(VALUE(MID( Term!$F$2, FIND("FR",  Term!$F$2) + 2, LEN( Term!$F$2) - FIND("FR",  Term!$F$2) - 1)) &gt; VALUE(MID( Term!$G$2, FIND("FR",  Term!$G$2) + 2, LEN( Term!$G$2) - FIND("FR",  Term!$G$2) - 1)),
    "USD CMS" &amp; MID( Term!$F$2, FIND("FR",  Term!$F$2) + 2, LEN( Term!$F$2) - FIND("FR",  Term!$F$2) - 1) &amp; "-" &amp; MID( Term!$G$2, FIND("FR",  Term!$G$2) + 2, LEN( Term!$G$2) - FIND("FR",  Term!$G$2) - 1),
    "USD CMS" &amp; MID( Term!$G$2, FIND("FR",  Term!$G$2) + 2, LEN( Term!$G$2) - FIND("FR",  Term!$G$2) - 1) &amp; "-" &amp; MID( Term!$F$2, FIND("FR",  Term!$F$2) + 2, LEN( Term!$F$2) - FIND("FR",  Term!$F$2) - 1))</f>
        <v>#VALUE!</v>
      </c>
      <c r="K9" t="str">
        <f>"Credit Agricole CIB Financial Solutions "&amp;D2&amp;"可提前買回（發行機構前"&amp;C4&amp;"個月不可買回）"&amp;C3&amp;"計價利差倍數連結利率結構型商品（無擔保）"</f>
        <v>Credit Agricole CIB Financial Solutions 十年期可提前買回（發行機構前十二個月不可買回）美元計價利差倍數連結利率結構型商品（無擔保）</v>
      </c>
      <c r="L9" t="e">
        <f>"Crédit Agricole CIB Financial Solutions "&amp; Term!D2&amp;" "&amp; Term!$P$2&amp;"-Year Callable (Non-Call "&amp; Term!$E$2&amp;"months) Capped and Floored Floating Note Linked to "&amp;J9&amp;"Y (Unsecured)"</f>
        <v>#VALUE!</v>
      </c>
    </row>
    <row r="10" spans="2:12">
      <c r="F10" t="s">
        <v>41</v>
      </c>
      <c r="G10" t="s">
        <v>42</v>
      </c>
      <c r="H10" t="s">
        <v>287</v>
      </c>
      <c r="I10" t="s">
        <v>288</v>
      </c>
      <c r="J10" t="s">
        <v>288</v>
      </c>
      <c r="K10" t="str">
        <f>"Crédit Agricole CIB Financial Solutions "&amp;D2&amp;C3&amp;"計價收益結構型商品（無擔保）"</f>
        <v>Crédit Agricole CIB Financial Solutions 十年期美元計價收益結構型商品（無擔保）</v>
      </c>
      <c r="L10" t="str">
        <f>"Crédit Agricole CIB Financial Solutions "&amp; Term!D2&amp;" "&amp; Term!$P$2&amp;"-Month Catch Profit Note (Unsecured)"</f>
        <v>Crédit Agricole CIB Financial Solutions USD 10-Month Catch Profit Note (Unsecured)</v>
      </c>
    </row>
    <row r="11" spans="2:12">
      <c r="F11" t="s">
        <v>41</v>
      </c>
      <c r="G11" t="s">
        <v>42</v>
      </c>
      <c r="H11" t="s">
        <v>83</v>
      </c>
      <c r="I11" t="s">
        <v>288</v>
      </c>
      <c r="J11" t="s">
        <v>288</v>
      </c>
      <c r="K11" t="str">
        <f>"Crédit Agricole CIB Financial Solutions "&amp;D2&amp;C3&amp;"計價收益結構型商品（無擔保）"</f>
        <v>Crédit Agricole CIB Financial Solutions 十年期美元計價收益結構型商品（無擔保）</v>
      </c>
      <c r="L11" t="str">
        <f>"Crédit Agricole CIB Financial Solutions "&amp; Term!D2&amp;" "&amp; Term!$P$2&amp;"-Month Catch Profit Note (Unsecured)"</f>
        <v>Crédit Agricole CIB Financial Solutions USD 10-Month Catch Profit Note (Unsecured)</v>
      </c>
    </row>
    <row r="12" spans="2:12">
      <c r="F12" t="s">
        <v>41</v>
      </c>
      <c r="G12" t="s">
        <v>42</v>
      </c>
      <c r="H12" t="s">
        <v>289</v>
      </c>
      <c r="I12" t="b">
        <f>IF(COUNTIF( Underlying!$G$3:$G$15,  Term!$F$2) &gt; 0, "利率", IF(COUNTIF( Underlying!$Q$3:$Q$17,  Term!$F$2) &gt; 0, "股權指數"))</f>
        <v>0</v>
      </c>
      <c r="J12" t="str">
        <f>IF($I$12="利率",VLOOKUP( Term!$F$2, Underlying!$G:$J,4,FALSE), "S&amp;P 500 Index")</f>
        <v>S&amp;P 500 Index</v>
      </c>
      <c r="K12" t="str">
        <f>IF(Term!$Q$2="Y","Crédit Agricole CIB Financial Solutions "&amp;D2&amp;IF($E$2=Term!$E$2,"不可提前買回","可提前買回（發行機構前"&amp;產品名稱!C4&amp;"個月不可買回）")&amp;產品名稱!C3&amp;"計價連結"&amp;產品名稱!I12&amp;"結構型商品（無擔保）","Crédit Agricole CIB Financial Solutions "&amp;產品名稱!D2&amp;產品名稱!C3&amp;"計價數位結構型商品（無擔保）")</f>
        <v>Crédit Agricole CIB Financial Solutions 十年期可提前買回（發行機構前十二個月不可買回）美元計價連結FALSE結構型商品（無擔保）</v>
      </c>
      <c r="L12" t="str">
        <f>IF(Term!$Q$2="Y",  "Crédit Agricole CIB Financial Solutions " &amp; Term!D2 &amp;" "&amp; Term!$P$2 &amp; "-Year " &amp;IF($E$2=Term!$E$2, "Non-Callable", "Callable (Non-Call " &amp; Term!$E$2 &amp; " months)") &amp; " Fixed Rate Note Linked to " &amp; 產品名稱!J12 &amp; " (Unsecured)",   "Crédit Agricole CIB Financial Solutions " &amp; Term!D2 &amp; " " &amp; Term!$P$2 &amp; "-Month Digital Note (Unsecured)")</f>
        <v>Crédit Agricole CIB Financial Solutions USD 10-Year Callable (Non-Call 12 months) Fixed Rate Note Linked to S&amp;P 500 Index (Unsecured)</v>
      </c>
    </row>
    <row r="13" spans="2:12">
      <c r="F13" t="s">
        <v>41</v>
      </c>
      <c r="G13" t="s">
        <v>42</v>
      </c>
      <c r="H13" t="s">
        <v>89</v>
      </c>
      <c r="I13" t="str">
        <f>IF(COUNTIF(Underlying!$C:$C,Term!$F$2)&gt;0,"股權",IF(COUNTIF(Underlying!$G:$G,Term!$F$2)&gt;0,"利率","匯率"))</f>
        <v>匯率</v>
      </c>
      <c r="J13" t="e">
        <f>VLOOKUP(Term!$F$2,Underlying!$G:$J,4,FALSE)</f>
        <v>#N/A</v>
      </c>
      <c r="K13" t="str">
        <f>"Crédit Agricole CIB Financial Solutions "&amp;C2&amp;"可提前買回（發行機構前"&amp;C4&amp;"個月不可買回）"&amp;C3&amp;"計價連結利率結構型商品（無擔保）"</f>
        <v>Crédit Agricole CIB Financial Solutions 10年期可提前買回（發行機構前十二個月不可買回）美元計價連結利率結構型商品（無擔保）</v>
      </c>
      <c r="L13" t="str">
        <f>IFERROR("Crédit Agricole CIB Financial Solutions "&amp;Term!D2&amp;" "&amp;Term!$P$2&amp;"-Year Callable (Non-Call "&amp;Term!$E$2&amp;" months) Inverse Floater Note Linked to "&amp;產品名稱!J14&amp;" (Unsecured)", "-")</f>
        <v>-</v>
      </c>
    </row>
    <row r="14" spans="2:12">
      <c r="F14" t="s">
        <v>41</v>
      </c>
      <c r="G14" t="s">
        <v>42</v>
      </c>
      <c r="H14" t="s">
        <v>290</v>
      </c>
      <c r="I14" t="str">
        <f>IF(COUNTIF(Underlying!$C:$C,Term!$F$2)&gt;0,"股權",IF(COUNTIF(Underlying!$G:$G,Term!$F$2)&gt;0,"利率","匯率"))</f>
        <v>匯率</v>
      </c>
      <c r="J14" t="e">
        <f>VLOOKUP(Term!$F$2,Underlying!$G:$J,4,FALSE)</f>
        <v>#N/A</v>
      </c>
      <c r="K14" t="str">
        <f>IF($I$14="利率","Crédit Agricole CIB Financial Solutions "&amp;$D$2&amp;"可提前買回（發行機構前"&amp;$C$4&amp;"個月不可買回）"&amp;$C$3&amp;"計價區間每日計息連結"&amp;$I$14&amp;"結構型商品（無擔保）",IF($I$14="股權","Crédit Agricole CIB Financial Solutions "&amp;$D$2&amp;"可提前買回"&amp;$C$3&amp;"計價區間計息結構型商品(無擔保)","-"))</f>
        <v>-</v>
      </c>
      <c r="L14" t="str">
        <f>IFERROR("Crédit Agricole CIB Financial Solutions "&amp;Term!$D$2&amp;" "&amp;Term!$P$2&amp;"-Year Callable (Non-Call "&amp;Term!$E$2&amp;" months) Range Accrual Note Linked to "&amp;產品名稱!J14&amp;" (Unsecured)",IF($I$14="股權","Crédit Agricole CIB Financial Solutions "&amp;Term!$D$2&amp;" "&amp;Term!$P$2&amp;"-Year Callable Range Accrual Note (Unsecured)", "-"))</f>
        <v>-</v>
      </c>
    </row>
    <row r="15" spans="2:12">
      <c r="F15" t="s">
        <v>41</v>
      </c>
      <c r="G15" t="s">
        <v>42</v>
      </c>
      <c r="H15" t="s">
        <v>93</v>
      </c>
      <c r="I15" t="s">
        <v>288</v>
      </c>
      <c r="J15" t="s">
        <v>288</v>
      </c>
      <c r="K15" t="str">
        <f>"Crédit Agricole CIB Financial Solutions "&amp;C2&amp;C3&amp;"計價固定配息自動提前出場結構型商品（無擔保）（不保本）"</f>
        <v>Crédit Agricole CIB Financial Solutions 10年期美元計價固定配息自動提前出場結構型商品（無擔保）（不保本）</v>
      </c>
      <c r="L15" t="str">
        <f>"Crédit Agricole CIB Financial Solutions "&amp;Term!D2&amp;" "&amp;Term!$P$2&amp;"-Month "&amp;"Fixed Coupon Autocall Note (Unsecured)(Non-principal protected)"</f>
        <v>Crédit Agricole CIB Financial Solutions USD 10-Month Fixed Coupon Autocall Note (Unsecured)(Non-principal protected)</v>
      </c>
    </row>
    <row r="16" spans="2:12">
      <c r="F16" t="s">
        <v>41</v>
      </c>
      <c r="G16" t="s">
        <v>42</v>
      </c>
      <c r="H16" t="s">
        <v>1580</v>
      </c>
      <c r="K16" t="str">
        <f>"Crédit Agricole CIB Financial Solutions "&amp;C2&amp;C3&amp;"計價固定配息自動提前出場結構型商品（無擔保）（不保本）"</f>
        <v>Crédit Agricole CIB Financial Solutions 10年期美元計價固定配息自動提前出場結構型商品（無擔保）（不保本）</v>
      </c>
      <c r="L16" t="str">
        <f>"Crédit Agricole CIB Financial Solutions "&amp;Term!D2&amp;" "&amp;Term!$P$2&amp;"-Month "&amp;"Fixed Coupon Autocall Note (Unsecured)(Non-principal protected)"</f>
        <v>Crédit Agricole CIB Financial Solutions USD 10-Month Fixed Coupon Autocall Note (Unsecured)(Non-principal protected)</v>
      </c>
    </row>
    <row r="17" spans="6:12">
      <c r="F17" t="s">
        <v>41</v>
      </c>
      <c r="G17" t="s">
        <v>42</v>
      </c>
      <c r="H17" t="s">
        <v>1586</v>
      </c>
      <c r="K17" t="str">
        <f>"Crédit Agricole CIB Financial Solutions "&amp;C2&amp;C3&amp;"計價固定配息自動提前出場結構型商品（無擔保）（不保本）"</f>
        <v>Crédit Agricole CIB Financial Solutions 10年期美元計價固定配息自動提前出場結構型商品（無擔保）（不保本）</v>
      </c>
      <c r="L17" t="str">
        <f>"Crédit Agricole CIB Financial Solutions "&amp;Term!D2&amp;" "&amp;Term!$P$2&amp;"-Month "&amp;"Express Fixed Coupon Autocall Note (Unsecured)(Non-principal protected)"</f>
        <v>Crédit Agricole CIB Financial Solutions USD 10-Month Express Fixed Coupon Autocall Note (Unsecured)(Non-principal protected)</v>
      </c>
    </row>
    <row r="18" spans="6:12">
      <c r="F18" t="s">
        <v>41</v>
      </c>
      <c r="G18" t="s">
        <v>42</v>
      </c>
      <c r="H18" t="s">
        <v>1584</v>
      </c>
      <c r="K18" t="str">
        <f>"Crédit Agricole CIB Financial Solutions "&amp;C2&amp;C3&amp;"計價固定配息自動提前出場結構型商品（無擔保）（不保本）"</f>
        <v>Crédit Agricole CIB Financial Solutions 10年期美元計價固定配息自動提前出場結構型商品（無擔保）（不保本）</v>
      </c>
      <c r="L18" t="str">
        <f>"Crédit Agricole CIB Financial Solutions "&amp;Term!D2&amp;" "&amp;Term!$P$2&amp;"-Month "&amp;"One Star Fixed Coupon Autocall Note (Unsecured)(Non-principal protected)"</f>
        <v>Crédit Agricole CIB Financial Solutions USD 10-Month One Star Fixed Coupon Autocall Note (Unsecured)(Non-principal protected)</v>
      </c>
    </row>
    <row r="19" spans="6:12">
      <c r="F19" t="s">
        <v>41</v>
      </c>
      <c r="G19" t="s">
        <v>42</v>
      </c>
      <c r="H19" t="s">
        <v>291</v>
      </c>
      <c r="I19" t="s">
        <v>288</v>
      </c>
      <c r="J19" t="s">
        <v>288</v>
      </c>
      <c r="K19" t="str">
        <f>"Crédit Agricole CIB Financial Solutions "&amp;C2&amp;C3&amp;"計價區間計息自動提前出場結構型商品（無擔保）（不保本）"</f>
        <v>Crédit Agricole CIB Financial Solutions 10年期美元計價區間計息自動提前出場結構型商品（無擔保）（不保本）</v>
      </c>
      <c r="L19" t="str">
        <f>"Crédit Agricole CIB Financial Solutions "&amp;Term!D2&amp;" "&amp;Term!$P$2&amp;"-Month "&amp;"Range Accrual Autocall Note (Unsecured)(Non-principal protected)"</f>
        <v>Crédit Agricole CIB Financial Solutions USD 10-Month Range Accrual Autocall Note (Unsecured)(Non-principal protected)</v>
      </c>
    </row>
    <row r="20" spans="6:12">
      <c r="F20" t="s">
        <v>41</v>
      </c>
      <c r="G20" t="s">
        <v>42</v>
      </c>
      <c r="H20" t="s">
        <v>299</v>
      </c>
      <c r="K20" t="str">
        <f>"Crédit Agricole CIB Financial Solutions "&amp;C2&amp;C3&amp;"計價紅利結構型商品（無擔保） （不保本）"</f>
        <v>Crédit Agricole CIB Financial Solutions 10年期美元計價紅利結構型商品（無擔保） （不保本）</v>
      </c>
      <c r="L20" t="str">
        <f>"Crédit Agricole CIB Financial Solutions "&amp;Term!D2&amp;" "&amp;Term!$P$2&amp;"-Month "&amp;"Bonus Note (Unsecured)(Non-principal protected)"</f>
        <v>Crédit Agricole CIB Financial Solutions USD 10-Month Bonus Note (Unsecured)(Non-principal protected)</v>
      </c>
    </row>
    <row r="21" spans="6:12">
      <c r="F21" t="s">
        <v>41</v>
      </c>
      <c r="G21" t="s">
        <v>42</v>
      </c>
      <c r="H21" t="s">
        <v>300</v>
      </c>
      <c r="K21" t="str">
        <f>"Crédit Agricole CIB Financial Solutions "&amp;C2&amp;C3&amp;"計價紅利結構型商品（無擔保） （不保本）"</f>
        <v>Crédit Agricole CIB Financial Solutions 10年期美元計價紅利結構型商品（無擔保） （不保本）</v>
      </c>
      <c r="L21" t="str">
        <f>"Crédit Agricole CIB Financial Solutions "&amp;Term!$P$2&amp;"-Month "&amp;Term!D2&amp;" Fixed Bonus Note (Unsecured)(Non-principal protected)"</f>
        <v>Crédit Agricole CIB Financial Solutions 10-Month USD Fixed Bonus Note (Unsecured)(Non-principal protected)</v>
      </c>
    </row>
    <row r="22" spans="6:12">
      <c r="F22" t="s">
        <v>41</v>
      </c>
      <c r="G22" t="s">
        <v>42</v>
      </c>
      <c r="H22" t="s">
        <v>293</v>
      </c>
      <c r="K22" t="s">
        <v>288</v>
      </c>
      <c r="L22" t="s">
        <v>288</v>
      </c>
    </row>
    <row r="23" spans="6:12">
      <c r="F23" t="s">
        <v>41</v>
      </c>
      <c r="G23" t="s">
        <v>42</v>
      </c>
      <c r="H23" t="s">
        <v>294</v>
      </c>
      <c r="K23" t="str">
        <f>"Crédit Agricole CIB Financial Solutions "&amp;C2&amp;C3&amp;"計價連結表現自動提前出場結構型商品（無擔保） （不保本）"</f>
        <v>Crédit Agricole CIB Financial Solutions 10年期美元計價連結表現自動提前出場結構型商品（無擔保） （不保本）</v>
      </c>
      <c r="L23" t="str">
        <f>"Crédit Agricole CIB Financial Solutions "&amp;Term!$P$2&amp;"-Month "&amp;Term!D2&amp;" Performance Autocall Note (Unsecured)(Non-principal protected)"</f>
        <v>Crédit Agricole CIB Financial Solutions 10-Month USD Performance Autocall Note (Unsecured)(Non-principal protected)</v>
      </c>
    </row>
    <row r="24" spans="6:12">
      <c r="F24" t="s">
        <v>41</v>
      </c>
      <c r="G24" t="s">
        <v>42</v>
      </c>
      <c r="H24" t="s">
        <v>295</v>
      </c>
      <c r="K24" t="str">
        <f>"Crédit Agricole CIB Financial Solutions "&amp;D2&amp;"可提前買回"&amp;C3&amp;"計價連結股權結構型商品（無擔保）"</f>
        <v>Crédit Agricole CIB Financial Solutions 十年期可提前買回美元計價連結股權結構型商品（無擔保）</v>
      </c>
      <c r="L24" t="str">
        <f>"Crédit Agricole CIB Financial Solutions "&amp;Term!D2&amp;" "&amp;Term!$P$2&amp;"-Year Callable Equity Variable Note (Unsecured)"</f>
        <v>Crédit Agricole CIB Financial Solutions USD 10-Year Callable Equity Variable Note (Unsecured)</v>
      </c>
    </row>
    <row r="25" spans="6:12">
      <c r="F25" t="s">
        <v>41</v>
      </c>
      <c r="G25" t="s">
        <v>42</v>
      </c>
      <c r="H25" t="s">
        <v>1552</v>
      </c>
      <c r="K25" t="str">
        <f>"Crédit Agricole CIB Financial Solutions "&amp;$C$2&amp;$C$3&amp;"計價自動提前出場結構型商品(無擔保) (不保本)"</f>
        <v>Crédit Agricole CIB Financial Solutions 10年期美元計價自動提前出場結構型商品(無擔保) (不保本)</v>
      </c>
      <c r="L25" t="str">
        <f>"Crédit Agricole CIB Financial Solutions "&amp;Term!$D$2&amp;" "&amp;Term!$P$2&amp;"-Month Classic Autocall Note (Unsecured)(Non-principal protected)"</f>
        <v>Crédit Agricole CIB Financial Solutions USD 10-Month Classic Autocall Note (Unsecured)(Non-principal protected)</v>
      </c>
    </row>
    <row r="26" spans="6:12">
      <c r="F26" t="s">
        <v>41</v>
      </c>
      <c r="G26" t="s">
        <v>42</v>
      </c>
      <c r="H26" t="s">
        <v>1578</v>
      </c>
      <c r="K26" t="str">
        <f>"Crédit Agricole CIB Financial Solutions "&amp;$C$2&amp;$C$3&amp;"計價自動提前出場結構型商品(無擔保) (不保本)"</f>
        <v>Crédit Agricole CIB Financial Solutions 10年期美元計價自動提前出場結構型商品(無擔保) (不保本)</v>
      </c>
      <c r="L26" t="str">
        <f>"Crédit Agricole CIB Financial Solutions "&amp;Term!$D$2&amp;" "&amp;Term!$P$2&amp;"-Month Classic Autocall Note (Unsecured)(Non-principal protected)"</f>
        <v>Crédit Agricole CIB Financial Solutions USD 10-Month Classic Autocall Note (Unsecured)(Non-principal protected)</v>
      </c>
    </row>
    <row r="27" spans="6:12">
      <c r="F27" t="s">
        <v>43</v>
      </c>
      <c r="G27" t="s">
        <v>44</v>
      </c>
      <c r="H27" t="s">
        <v>286</v>
      </c>
      <c r="I27" t="e">
        <f>IF(VALUE(MID(Term!$F$2, FIND("FR",Term!$F$2) + 2, LEN(Term!$F$2) - FIND("FR",Term!$F$2) - 1)) &gt; VALUE(MID(Term!$G$2, FIND("FR", Term!$G$2) + 2, LEN(Term!$G$2) - FIND("FR", Term!$G$2) - 1)),
   VLOOKUP(Term!$F$2,Underlying!G:H,2,FALSE)&amp;"及"&amp;VLOOKUP(Term!$G$2,Underlying!G:H,2,FALSE),VLOOKUP(Term!$G$2,Underlying!G:H,2,FALSE)&amp;"及"&amp;VLOOKUP(Term!$F$2,Underlying!G:H,2,FALSE))</f>
        <v>#VALUE!</v>
      </c>
      <c r="J27" t="e">
        <f>IF(VALUE(MID(Term!$F$2, FIND("FR",Term!$F$2) + 2, LEN(Term!$F$2) - FIND("FR",Term!$F$2) - 1)) &gt; VALUE(MID(Term!$G$2, FIND("FR", Term!$G$2) + 2, LEN(Term!$G$2) - FIND("FR", Term!$G$2) - 1)),
   VLOOKUP(Term!$F$2,Underlying!G:I,3,FALSE)&amp;" and "&amp;VLOOKUP(Term!$G$2,Underlying!G:I,3,FALSE),VLOOKUP(Term!$G$2,Underlying!G:I,3,FALSE)&amp;" and "&amp;VLOOKUP(Term!$F$2,Underlying!G:I,3,FALSE))</f>
        <v>#VALUE!</v>
      </c>
      <c r="K27" t="e">
        <f>"法國巴黎銀行"&amp;C2&amp;C3&amp;"計價發行機構可買回連結"&amp;I27&amp;"結構型商品 （無擔保）"</f>
        <v>#VALUE!</v>
      </c>
      <c r="L27" t="e">
        <f>Term!$P$2&amp;" Years "&amp;Term!D2&amp;" Issuer Callable Steepener Certificate linked to "&amp;產品名稱!J27&amp;" issued by BNP Paribas Issuance B.V. (unsecured)"</f>
        <v>#VALUE!</v>
      </c>
    </row>
    <row r="28" spans="6:12">
      <c r="F28" t="s">
        <v>43</v>
      </c>
      <c r="G28" t="s">
        <v>44</v>
      </c>
      <c r="H28" t="s">
        <v>287</v>
      </c>
      <c r="I28" t="s">
        <v>288</v>
      </c>
      <c r="J28" t="s">
        <v>288</v>
      </c>
      <c r="K28" t="str">
        <f>"法國巴黎銀行"&amp;C2&amp;C3&amp;"計價連結單一股票結構型商品（無擔保 ）"</f>
        <v>法國巴黎銀行10年期美元計價連結單一股票結構型商品（無擔保 ）</v>
      </c>
      <c r="L28" t="str">
        <f>Term!$P$2&amp;" Months "&amp;Term!D2&amp;" Bull Bear Note linked to Single Share issued by BNP Paribas Issuance B.V. (unsecured)"</f>
        <v>10 Months USD Bull Bear Note linked to Single Share issued by BNP Paribas Issuance B.V. (unsecured)</v>
      </c>
    </row>
    <row r="29" spans="6:12">
      <c r="F29" t="s">
        <v>43</v>
      </c>
      <c r="G29" t="s">
        <v>44</v>
      </c>
      <c r="H29" t="s">
        <v>83</v>
      </c>
      <c r="I29" t="s">
        <v>288</v>
      </c>
      <c r="J29" t="s">
        <v>288</v>
      </c>
      <c r="K29" t="str">
        <f>"法國巴黎銀行"&amp;C2&amp;C3&amp;"計價連結單一股票結構型商品 （不保本 ）（無擔保 ）"</f>
        <v>法國巴黎銀行10年期美元計價連結單一股票結構型商品 （不保本 ）（無擔保 ）</v>
      </c>
      <c r="L29" t="str">
        <f>Term!$P$2&amp;" Months "&amp;Term!D2&amp;" Sharkfin"&amp;IF(Term!M2&gt;100,"(Bullish)","(Bearish)")&amp;" Note linked to Single Share issued by BNP Paribas Issuance B.V. (unsecured)"</f>
        <v>10 Months USD Sharkfin(Bearish) Note linked to Single Share issued by BNP Paribas Issuance B.V. (unsecured)</v>
      </c>
    </row>
    <row r="30" spans="6:12">
      <c r="F30" t="s">
        <v>43</v>
      </c>
      <c r="G30" t="s">
        <v>44</v>
      </c>
      <c r="H30" t="s">
        <v>289</v>
      </c>
      <c r="I30" t="b">
        <f>IF(COUNTIF(Underlying!$G$3:$G$15, Term!$F$2) &gt; 0, "利率", IF(COUNTIF(Underlying!$Q$3:$Q$17, Term!$F$2) &gt; 0, "單一指數"))</f>
        <v>0</v>
      </c>
      <c r="J30" t="b">
        <f>IF(COUNTIF(Underlying!$G$3:$G$15, Term!$F$2) &gt; 0, "CMS", IF(COUNTIF(Underlying!$Q$3:$Q$17, Term!$F$2) &gt; 0, "Single Index"))</f>
        <v>0</v>
      </c>
      <c r="K30" t="str">
        <f>"法國巴黎銀行"&amp;C2&amp;C3&amp;"計價發行機構可買回固定配息連結"&amp;I30&amp;"結構型商品（無擔保）"</f>
        <v>法國巴黎銀行10年期美元計價發行機構可買回固定配息連結FALSE結構型商品（無擔保）</v>
      </c>
      <c r="L30" t="str">
        <f>Term!$P$2&amp;" Years "&amp;Term!D2&amp;" Issuer Callable Fixed Coupon Note linked to "&amp;產品名稱!J30&amp;" issued by BNP Paribas Issuance B.V. (unsecured)"</f>
        <v>10 Years USD Issuer Callable Fixed Coupon Note linked to FALSE issued by BNP Paribas Issuance B.V. (unsecured)</v>
      </c>
    </row>
    <row r="31" spans="6:12">
      <c r="F31" t="s">
        <v>43</v>
      </c>
      <c r="G31" t="s">
        <v>44</v>
      </c>
      <c r="H31" t="s">
        <v>89</v>
      </c>
      <c r="I31" t="e">
        <f>VLOOKUP(Term!$F$2,Underlying!$G:$J,2,FALSE)</f>
        <v>#N/A</v>
      </c>
      <c r="J31" t="e">
        <f>VLOOKUP(Term!$F$2,Underlying!$G:$J,3,FALSE)</f>
        <v>#N/A</v>
      </c>
      <c r="K31" t="e">
        <f>"法國巴黎銀行"&amp;C2&amp;C3&amp;"計價發行機構可買回連結"&amp;I31&amp;"結構型商品 （無擔保）"</f>
        <v>#N/A</v>
      </c>
      <c r="L31" t="e">
        <f>Term!$P$2&amp;" Years "&amp;Term!D2&amp;" Issuer Callable Inverse Floater Note linked to "&amp;產品名稱!J31&amp;" issued by BNP Paribas Issuance B.V. (unsecured)"</f>
        <v>#N/A</v>
      </c>
    </row>
    <row r="32" spans="6:12">
      <c r="F32" t="s">
        <v>43</v>
      </c>
      <c r="G32" t="s">
        <v>44</v>
      </c>
      <c r="H32" t="s">
        <v>290</v>
      </c>
      <c r="I32" t="str">
        <f>IF(COUNTIF(Underlying!$C:$C,Term!$F$2)&gt;0,"股權",IF(COUNTIF(Underlying!$G:$G,Term!$F$2)&gt;0,"利率","匯率"))</f>
        <v>匯率</v>
      </c>
      <c r="J32" t="s">
        <v>288</v>
      </c>
      <c r="K32" t="str">
        <f>IF($I$14="利率","法國巴黎銀行"&amp;$C$2&amp;$C$3&amp;"計價可買回連結"&amp;I32&amp;"每日計息結構型商品（無擔保）","-")</f>
        <v>-</v>
      </c>
      <c r="L32" t="str">
        <f>"BNPP "&amp;Term!$P$2&amp;" Years "&amp;Term!$D$2&amp;" Callable Daily Range Accrual Note (unsecured)"</f>
        <v>BNPP 10 Years USD Callable Daily Range Accrual Note (unsecured)</v>
      </c>
    </row>
    <row r="33" spans="6:12">
      <c r="F33" t="s">
        <v>43</v>
      </c>
      <c r="G33" t="s">
        <v>44</v>
      </c>
      <c r="H33" t="s">
        <v>93</v>
      </c>
      <c r="I33" t="s">
        <v>288</v>
      </c>
      <c r="J33" t="s">
        <v>288</v>
      </c>
      <c r="K33" t="str">
        <f>"法國巴黎銀行"&amp;C2&amp;"期"&amp;C3&amp;"計價固定配息"&amp;IF(Term!$P$2=Term!$E$2, "", "自動提前贖回")&amp;"連結"&amp;IF(ISBLANK(Term!$G$2), "單一股票", "一籃子股票/交易所買賣基金")&amp;"結構型商品（不保本）（無擔保）"</f>
        <v>法國巴黎銀行10年期期美元計價固定配息自動提前贖回連結單一股票結構型商品（不保本）（無擔保）</v>
      </c>
      <c r="L33" t="str">
        <f>Term!$P$2&amp;" Months "&amp;Term!D2&amp;" Fixed Coupon"&amp;IF(Term!$P$2=Term!$E$2, "", " Early Redeemable")&amp;" Note linked to a "&amp;IF(ISBLANK(Term!$G$2), "Single Share", "Basket of Shares/ETIs")&amp;" issued by BNP Paribas Issuance B.V. (unsecured)"</f>
        <v>10 Months USD Fixed Coupon Early Redeemable Note linked to a Single Share issued by BNP Paribas Issuance B.V. (unsecured)</v>
      </c>
    </row>
    <row r="34" spans="6:12">
      <c r="F34" t="s">
        <v>43</v>
      </c>
      <c r="G34" t="s">
        <v>44</v>
      </c>
      <c r="H34" t="s">
        <v>1580</v>
      </c>
      <c r="K34" t="str">
        <f>"法國巴黎銀行"&amp;C2&amp;"期"&amp;C3&amp;"計價固定配息"&amp;IF(Term!$P$2=Term!$E$2, "", "自動提前贖回")&amp;"連結"&amp;IF(ISBLANK(Term!$G$2), "單一股票", "一籃子股票/交易所買賣基金")&amp;"結構型商品（不保本）（無擔保）"</f>
        <v>法國巴黎銀行10年期期美元計價固定配息自動提前贖回連結單一股票結構型商品（不保本）（無擔保）</v>
      </c>
      <c r="L34" t="str">
        <f>Term!$P$2&amp;" Months "&amp;Term!D2&amp;" Fixed Coupon"&amp;IF(Term!$P$2=Term!$E$2, "", " Early Redeemable")&amp;" Note linked to a "&amp;IF(ISBLANK(Term!$G$2), "Single Share", "Basket of Shares/ETIs")&amp;" issued by BNP Paribas Issuance B.V. (unsecured)"</f>
        <v>10 Months USD Fixed Coupon Early Redeemable Note linked to a Single Share issued by BNP Paribas Issuance B.V. (unsecured)</v>
      </c>
    </row>
    <row r="35" spans="6:12">
      <c r="F35" t="s">
        <v>43</v>
      </c>
      <c r="G35" t="s">
        <v>44</v>
      </c>
      <c r="H35" t="s">
        <v>291</v>
      </c>
      <c r="I35" t="s">
        <v>288</v>
      </c>
      <c r="J35" t="s">
        <v>288</v>
      </c>
      <c r="K35" t="str">
        <f>"法國巴黎銀行"&amp;C2&amp;"期"&amp;C3&amp;"計價"&amp;IF(Term!$P$2=Term!$E$2, "", "自動提前贖回")&amp;"連結"&amp;IF(ISBLANK(Term!$G$2), "單一股票", "一籃子股票")&amp;"結構型商品（不保本）（無擔保）"</f>
        <v>法國巴黎銀行10年期期美元計價自動提前贖回連結單一股票結構型商品（不保本）（無擔保）</v>
      </c>
      <c r="L35" t="str">
        <f>Term!$P$2&amp;" Months "&amp;Term!D2&amp;" Daily Accrual"&amp;IF(Term!$P$2=Term!$E$2, "", " Early Redeemable")&amp;" Note linked to a "&amp;IF(ISBLANK(Term!$G$2), "Single Share", "Basket of Shares")&amp;" issued by BNP Paribas Issuance B.V. (unsecured)"</f>
        <v>10 Months USD Daily Accrual Early Redeemable Note linked to a Single Share issued by BNP Paribas Issuance B.V. (unsecured)</v>
      </c>
    </row>
    <row r="36" spans="6:12">
      <c r="F36" t="s">
        <v>43</v>
      </c>
      <c r="G36" t="s">
        <v>44</v>
      </c>
      <c r="H36" t="s">
        <v>299</v>
      </c>
      <c r="K36" t="str">
        <f>"法國巴黎銀行"&amp;C2&amp;"期"&amp;C3&amp;"計價"&amp;"連結"&amp;IF(ISBLANK(Term!$G$2), "單一股票", "一籃子股票")&amp;"結構型商品（不保本）（無擔保）"</f>
        <v>法國巴黎銀行10年期期美元計價連結單一股票結構型商品（不保本）（無擔保）</v>
      </c>
      <c r="L36" t="str">
        <f>Term!$P$2&amp;" Months "&amp;Term!D2&amp;" BEN Note linked to a "&amp;IF(ISBLANK(Term!$G$2), "Single Share", "Basket of Shares")&amp;" issued by BNP Paribas Issuance B.V. (unsecured)"</f>
        <v>10 Months USD BEN Note linked to a Single Share issued by BNP Paribas Issuance B.V. (unsecured)</v>
      </c>
    </row>
    <row r="37" spans="6:12">
      <c r="F37" t="s">
        <v>43</v>
      </c>
      <c r="G37" t="s">
        <v>44</v>
      </c>
      <c r="H37" t="s">
        <v>300</v>
      </c>
      <c r="K37" t="str">
        <f>"法國巴黎銀行"&amp;C2&amp;"期"&amp;C3&amp;"計價"&amp;"連結"&amp;IF(ISBLANK(Term!$G$2), "單一股票", "一籃子股票")&amp;"結構型商品（不保本）（無擔保）"</f>
        <v>法國巴黎銀行10年期期美元計價連結單一股票結構型商品（不保本）（無擔保）</v>
      </c>
      <c r="L37" t="str">
        <f>Term!$P$2&amp;" Months "&amp;Term!D2&amp;" BEN Note linked to a "&amp;IF(ISBLANK(Term!$G$2), "Single Share", "Basket of Shares")&amp;" issued by BNP Paribas Issuance B.V. (unsecured)"</f>
        <v>10 Months USD BEN Note linked to a Single Share issued by BNP Paribas Issuance B.V. (unsecured)</v>
      </c>
    </row>
    <row r="38" spans="6:12">
      <c r="F38" t="s">
        <v>43</v>
      </c>
      <c r="G38" t="s">
        <v>44</v>
      </c>
      <c r="H38" t="s">
        <v>293</v>
      </c>
      <c r="I38" t="e">
        <f>VLOOKUP(Term!$F$2,Underlying!U:W,3,FALSE)</f>
        <v>#N/A</v>
      </c>
      <c r="J38" t="e">
        <f>LEFT(  VLOOKUP(Term!$F$2, Underlying!U:V, 2, FALSE),  FIND(" ", VLOOKUP(Term!$F$2, Underlying!U:V, 2, FALSE)) - 1)</f>
        <v>#N/A</v>
      </c>
      <c r="K38" t="e">
        <f>"法國巴黎銀行"&amp;C2&amp;"期"&amp;C3&amp;"計價連結"&amp;I38&amp;"結構型商品 （無擔保）"</f>
        <v>#N/A</v>
      </c>
      <c r="L38" t="e">
        <f>Term!$P$2&amp;" Months "&amp;Term!D2&amp;" "&amp;產品名稱!J38&amp;" linked Note issued by BNP Paribas Issuance B.V. (unsecured)"</f>
        <v>#N/A</v>
      </c>
    </row>
    <row r="39" spans="6:12">
      <c r="F39" t="s">
        <v>43</v>
      </c>
      <c r="G39" t="s">
        <v>44</v>
      </c>
      <c r="H39" t="s">
        <v>294</v>
      </c>
      <c r="K39" t="str">
        <f>"法國巴黎銀行"&amp;C2&amp;"期"&amp;C3&amp;"計價自動提前贖回連結"&amp;IF(ISBLANK(Term!F2), "單一股票", "一籃子股票")&amp;"結構型商品（不保本）（無擔保）"</f>
        <v>法國巴黎銀行10年期期美元計價自動提前贖回連結一籃子股票結構型商品（不保本）（無擔保）</v>
      </c>
      <c r="L39" t="str">
        <f>Term!$P$2&amp;" Months "&amp;Term!D2&amp;" Super Bull Early Redeemable Note linked to a "&amp;IF(ISBLANK(Term!F2), "Single Share", "Basket of Shares")&amp;" issued by BNP Paribas Issuance B.V. (unsecured)"</f>
        <v>10 Months USD Super Bull Early Redeemable Note linked to a Basket of Shares issued by BNP Paribas Issuance B.V. (unsecured)</v>
      </c>
    </row>
    <row r="40" spans="6:12">
      <c r="F40" t="s">
        <v>43</v>
      </c>
      <c r="G40" t="s">
        <v>44</v>
      </c>
      <c r="H40" t="s">
        <v>295</v>
      </c>
      <c r="K40" t="str">
        <f>"法國巴黎銀行"&amp;C2&amp;C3&amp;"計價發行機構可買回配息連結"&amp;IF(ISBLANK(Term!F2), "單一股票", "一籃子股票")&amp;"結構型商品（無擔保）"</f>
        <v>法國巴黎銀行10年期美元計價發行機構可買回配息連結一籃子股票結構型商品（無擔保）</v>
      </c>
      <c r="L40" t="str">
        <f>Term!$P$2&amp;" Years "&amp;Term!D2&amp;" Issuer Callable Notes with Coupon linked to a "&amp;IF(ISBLANK(Term!F2), "Single Share", "Basket of Shares")&amp;" issued by BNP Paribas Issuance B.V. (unsecured)"</f>
        <v>10 Years USD Issuer Callable Notes with Coupon linked to a Basket of Shares issued by BNP Paribas Issuance B.V. (unsecured)</v>
      </c>
    </row>
    <row r="41" spans="6:12">
      <c r="F41" t="s">
        <v>43</v>
      </c>
      <c r="G41" t="s">
        <v>44</v>
      </c>
      <c r="H41" t="s">
        <v>1552</v>
      </c>
      <c r="K41" t="s">
        <v>301</v>
      </c>
      <c r="L41" t="s">
        <v>301</v>
      </c>
    </row>
    <row r="42" spans="6:12">
      <c r="F42" t="s">
        <v>43</v>
      </c>
      <c r="G42" t="s">
        <v>44</v>
      </c>
      <c r="H42" t="s">
        <v>1578</v>
      </c>
      <c r="K42" t="str">
        <f>"法國巴黎銀行"&amp;C2&amp;"期"&amp;C3&amp;"計價逐步調降"&amp;IF(Term!$P$2=Term!$E$2, "", "自動提前贖回")&amp;"連結"&amp;IF(ISBLANK(Term!$G$2), "單一股票", "一籃子股票")&amp;"/交易所買賣基金結構型商品（不保本）（無擔保）"</f>
        <v>法國巴黎銀行10年期期美元計價逐步調降自動提前贖回連結單一股票/交易所買賣基金結構型商品（不保本）（無擔保）</v>
      </c>
      <c r="L42" t="str">
        <f>Term!$P$2&amp;" Months "&amp;Term!D2&amp;" AutoCall step down Note linked to a "&amp;IF(ISBLANK(Term!$G$2), "Single Share/ETI", "Basket of Shares/ETIs")&amp;" issued by BNP Paribas Issuance B.V. (unsecured)"</f>
        <v>10 Months USD AutoCall step down Note linked to a Single Share/ETI issued by BNP Paribas Issuance B.V. (unsecured)</v>
      </c>
    </row>
    <row r="43" spans="6:12">
      <c r="F43" t="s">
        <v>45</v>
      </c>
      <c r="G43" t="s">
        <v>46</v>
      </c>
      <c r="H43" t="s">
        <v>286</v>
      </c>
      <c r="I43" t="s">
        <v>288</v>
      </c>
      <c r="J43" t="str">
        <f>IF(COUNTIF(Underlying!$G$3:$G$15, Term!$F$2) &gt; 0, "CMS", "-")</f>
        <v>-</v>
      </c>
      <c r="K43" t="str">
        <f>"SG ISSUER "&amp;C2&amp;C3&amp;"計價（發行機構可買回）連結利率利差結構型商品（無擔保）"</f>
        <v>SG ISSUER 10年期美元計價（發行機構可買回）連結利率利差結構型商品（無擔保）</v>
      </c>
      <c r="L43" t="str">
        <f>"SG ISSUER "&amp;Term!$P$2&amp;" Year "&amp;Term!D2&amp;" Issuer Callable "&amp;J43&amp;" Spread Linked Structured Product (Unsecured)"</f>
        <v>SG ISSUER 10 Year USD Issuer Callable - Spread Linked Structured Product (Unsecured)</v>
      </c>
    </row>
    <row r="44" spans="6:12">
      <c r="F44" t="s">
        <v>45</v>
      </c>
      <c r="G44" t="s">
        <v>46</v>
      </c>
      <c r="H44" t="s">
        <v>287</v>
      </c>
      <c r="I44" t="s">
        <v>288</v>
      </c>
      <c r="J44" t="s">
        <v>288</v>
      </c>
      <c r="K44" t="s">
        <v>288</v>
      </c>
      <c r="L44" t="s">
        <v>288</v>
      </c>
    </row>
    <row r="45" spans="6:12">
      <c r="F45" t="s">
        <v>45</v>
      </c>
      <c r="G45" t="s">
        <v>46</v>
      </c>
      <c r="H45" t="s">
        <v>83</v>
      </c>
      <c r="I45" t="s">
        <v>288</v>
      </c>
      <c r="J45" t="s">
        <v>288</v>
      </c>
      <c r="K45" t="str">
        <f>"SG ISSUER "&amp;C3&amp;"計價"&amp;C2&amp;IF(Term!$P$2=Term!$E$2,"","可自動提前出場")&amp;"股權連結結構型商品（無擔保）"</f>
        <v>SG ISSUER 美元計價10年期可自動提前出場股權連結結構型商品（無擔保）</v>
      </c>
      <c r="L45" t="str">
        <f>"SG ISSUER "&amp;Term!D2&amp;" "&amp;Term!$P$2&amp;"-Month"&amp;IF(Term!$P$2=Term!$E$2,""," Autocall")&amp;" Equity Linked Note (Unsecured)"</f>
        <v>SG ISSUER USD 10-Month Autocall Equity Linked Note (Unsecured)</v>
      </c>
    </row>
    <row r="46" spans="6:12">
      <c r="F46" t="s">
        <v>45</v>
      </c>
      <c r="G46" t="s">
        <v>46</v>
      </c>
      <c r="H46" t="s">
        <v>289</v>
      </c>
      <c r="I46" t="b">
        <f>IF(COUNTIF(Underlying!$G$3:$G$15, Term!$F$2) &gt; 0, "利率", IF(COUNTIF(Underlying!$Q$3:$Q$17, Term!$F$2) &gt; 0, "指數"))</f>
        <v>0</v>
      </c>
      <c r="J46" t="b">
        <f>IF(COUNTIF(Underlying!$G$3:$G$15, Term!$F$2) &gt; 0, "CMS", IF(COUNTIF(Underlying!$Q$3:$Q$17, Term!$F$2) &gt; 0, "Index"))</f>
        <v>0</v>
      </c>
      <c r="K46" t="str">
        <f>"SG ISSUER "&amp;C2&amp;C3&amp;"計價（發行機構可買回）連結"&amp;I46&amp;"結構型商品（無擔保）"</f>
        <v>SG ISSUER 10年期美元計價（發行機構可買回）連結FALSE結構型商品（無擔保）</v>
      </c>
      <c r="L46" t="str">
        <f>"SG ISSUER "&amp;Term!$P$2&amp;" Year "&amp;Term!D2&amp;" Issuer Callable "&amp;產品名稱!J46&amp;" Linked Structured Product (Unsecured)"</f>
        <v>SG ISSUER 10 Year USD Issuer Callable FALSE Linked Structured Product (Unsecured)</v>
      </c>
    </row>
    <row r="47" spans="6:12">
      <c r="F47" t="s">
        <v>45</v>
      </c>
      <c r="G47" t="s">
        <v>46</v>
      </c>
      <c r="H47" t="s">
        <v>89</v>
      </c>
      <c r="I47" t="str">
        <f>IF(COUNTIF(Underlying!$C:$C,Term!$F$2)&gt;0,"股權",IF(COUNTIF(Underlying!$G:$G,Term!$F$2)&gt;0,"利率","匯率"))</f>
        <v>匯率</v>
      </c>
      <c r="J47" t="str">
        <f>IF(COUNTIF(Underlying!$G$3:$G$15, Term!$F$2) &gt; 0, "SOFR", "-")</f>
        <v>-</v>
      </c>
      <c r="K47" t="str">
        <f>"SG ISSUER "&amp;C2&amp;C3&amp;"計價（發行機構可買回）連結"&amp;I47&amp;"結構型商品（無擔保）"</f>
        <v>SG ISSUER 10年期美元計價（發行機構可買回）連結匯率結構型商品（無擔保）</v>
      </c>
      <c r="L47" t="str">
        <f>"SG ISSUER "&amp;Term!$P$2&amp;"Y "&amp;Term!D2&amp;" Issuer Callable "&amp;產品名稱!J47&amp;" Linked Structured Product (Unsecured)"</f>
        <v>SG ISSUER 10Y USD Issuer Callable - Linked Structured Product (Unsecured)</v>
      </c>
    </row>
    <row r="48" spans="6:12">
      <c r="F48" t="s">
        <v>45</v>
      </c>
      <c r="G48" t="s">
        <v>46</v>
      </c>
      <c r="H48" t="s">
        <v>290</v>
      </c>
      <c r="I48" t="str">
        <f>IF(COUNTIF(Underlying!$C:$C,Term!$F$2)&gt;0,"股權",IF(COUNTIF(Underlying!$G:$G,Term!$F$2)&gt;0,"利率","匯率"))</f>
        <v>匯率</v>
      </c>
      <c r="J48" t="str">
        <f>IF(COUNTIF(Underlying!$C:$C,Term!$F$2)&gt;0,"Equity",IF(COUNTIF(Underlying!$G:$G,Term!$F$2)&gt;0,"Reference Rate","Exchange Rate"))</f>
        <v>Exchange Rate</v>
      </c>
      <c r="K48" t="str">
        <f>IF($I$14="利率",IF(Term!$M$2&gt;0,"SG ISSUER "&amp;$C$2&amp;$C$3&amp;"計價（可自動提前出場）連結"&amp;$I$48&amp;"每日計息結構型商品（無擔保）","SG ISSUER "&amp;$C$2&amp;$C$3&amp;"計價（發行機構可買回）連結"&amp;$I$48&amp;"每日計息結構型商品（無擔保）"),"-")</f>
        <v>-</v>
      </c>
      <c r="L48" t="str">
        <f>IF(Term!$M$2&gt;0,"SG ISSUER "&amp;Term!$P$2&amp;" Year "&amp;Term!D2&amp;" Autocallable Range Accrual "&amp;產品名稱!J48&amp;" Linked Structured Product (Unsecured)","SG ISSUER "&amp;Term!$P$2&amp;" Year "&amp;Term!$D$2&amp;" Issuer Callable Range Accrual "&amp;產品名稱!J48&amp;" Linked Structured Product (Unsecured)")</f>
        <v>SG ISSUER 10 Year USD Issuer Callable Range Accrual Exchange Rate Linked Structured Product (Unsecured)</v>
      </c>
    </row>
    <row r="49" spans="6:12">
      <c r="F49" t="s">
        <v>45</v>
      </c>
      <c r="G49" t="s">
        <v>46</v>
      </c>
      <c r="H49" t="s">
        <v>93</v>
      </c>
      <c r="I49" t="s">
        <v>288</v>
      </c>
      <c r="J49" t="s">
        <v>288</v>
      </c>
      <c r="K49" t="str">
        <f>IF(Term!$P$2=Term!$E$2,  "SG ISSUER "&amp;C3&amp;"計價"&amp;C2&amp;"固定配息股權連結結構型商品（不保本及無擔保）",
   IF(OR(Term!$L$2="Daily",Term!$L$2="Period End"),    "SG ISSUER "&amp;C3&amp;"計價"&amp;C2&amp;"固定配息可自動提前出場股權連結結構型商品（不保本及無擔保）",
      "SG ISSUER "&amp;C3&amp;"計價"&amp;C2&amp;"固定配息（記憶式自動提前出場）股權連結結構型商品（不保本及無擔保）"   ))</f>
        <v>SG ISSUER 美元計價10年期固定配息（記憶式自動提前出場）股權連結結構型商品（不保本及無擔保）</v>
      </c>
      <c r="L49" t="str">
        <f>IF(Term!$P$2=Term!$E$2,  "SG ISSUER "&amp;Term!D2&amp;" "&amp;Term!$P$2&amp;"-month Fixed Coupon Equity Linked Notes (Non Principal Guaranteed and Unsecured)",
   IF(OR(Term!$L$2="Daily", Term!$L$2="Period End"),   "SG ISSUER "&amp;Term!D2&amp;" "&amp;Term!$P$2&amp;"-month Autocallable Fixed Coupon Equity Linked Notes (Non Principal Guaranteed and Unsecured)",
      "SG ISSUER "&amp;Term!D2&amp;" "&amp;Term!$P$2&amp;"-month Memory Autocallable Fixed Coupon Equity Linked Notes (Non Principal Guaranteed and Unsecured)" ))</f>
        <v>SG ISSUER USD 10-month Memory Autocallable Fixed Coupon Equity Linked Notes (Non Principal Guaranteed and Unsecured)</v>
      </c>
    </row>
    <row r="50" spans="6:12">
      <c r="F50" t="s">
        <v>45</v>
      </c>
      <c r="G50" t="s">
        <v>46</v>
      </c>
      <c r="H50" t="s">
        <v>1580</v>
      </c>
      <c r="K50" t="str">
        <f>IF(Term!$P$2=Term!$E$2,  "SG ISSUER "&amp;C3&amp;"計價"&amp;C2&amp;"固定配息股權連結結構型商品（不保本及無擔保）",
   IF(OR(Term!$L$2="Daily",Term!$L$2="Period End"),    "SG ISSUER "&amp;C3&amp;"計價"&amp;C2&amp;"固定配息可自動提前出場股權連結結構型商品（不保本及無擔保）",
      "SG ISSUER "&amp;C3&amp;"計價"&amp;C2&amp;"固定配息（記憶式自動提前出場）股權連結結構型商品（不保本及無擔保）"   ))</f>
        <v>SG ISSUER 美元計價10年期固定配息（記憶式自動提前出場）股權連結結構型商品（不保本及無擔保）</v>
      </c>
      <c r="L50" t="str">
        <f>IF(Term!$P$2=Term!$E$2,  "SG ISSUER "&amp;Term!D2&amp;" "&amp;Term!$P$2&amp;"-month Fixed Coupon Equity Linked Notes (Non Principal Guaranteed and Unsecured)",
   IF(OR(Term!$L$2="Daily", Term!$L$2="Period End"),   "SG ISSUER "&amp;Term!D2&amp;" "&amp;Term!$P$2&amp;"-month Autocallable Fixed Coupon Equity Linked Notes (Non Principal Guaranteed and Unsecured)",
      "SG ISSUER "&amp;Term!D2&amp;" "&amp;Term!$P$2&amp;"-month Memory Autocallable Fixed Coupon Equity Linked Notes (Non Principal Guaranteed and Unsecured)" ))</f>
        <v>SG ISSUER USD 10-month Memory Autocallable Fixed Coupon Equity Linked Notes (Non Principal Guaranteed and Unsecured)</v>
      </c>
    </row>
    <row r="51" spans="6:12">
      <c r="F51" t="s">
        <v>45</v>
      </c>
      <c r="G51" t="s">
        <v>46</v>
      </c>
      <c r="H51" t="s">
        <v>291</v>
      </c>
      <c r="I51" t="s">
        <v>288</v>
      </c>
      <c r="J51" t="s">
        <v>288</v>
      </c>
      <c r="K51" t="str">
        <f>IF(Term!$P$2=Term!$E$2,  "SG ISSUER "&amp;$C$3&amp;"計價"&amp;$C$2&amp;"區間累積配息股權連結結構型商品（不保本及無擔保）",
   IF(OR(Term!$L$2="Daily",Term!$L$2="Period End"),    "SG ISSUER "&amp;$C$3&amp;"計價"&amp;$C$2&amp;"區間累積配息可自動提前出場股權連結結構型商品（不保本及無擔保）",
      "SG ISSUER "&amp;$C$3&amp;"計價"&amp;$C$2&amp;"區間累積配息（記憶式自動提前出場）股權連結結構型商品（不保本及無擔保）"   ))</f>
        <v>SG ISSUER 美元計價10年期區間累積配息（記憶式自動提前出場）股權連結結構型商品（不保本及無擔保）</v>
      </c>
      <c r="L51" t="str">
        <f>IF(Term!$P$2=Term!$E$2,  "SG ISSUER "&amp;Term!D2&amp;" "&amp;Term!$P$2&amp;"-month Range Accrual Equity Linked Notes (Non Principal Guaranteed and Unsecured)",
   IF(OR(Term!$L$2="Daily", Term!$L$2="Period End"),   "SG ISSUER "&amp;Term!D2&amp;" "&amp;Term!$P$2&amp;"-month Autocallable Range Accrual Equity Linked Notes (Non Principal Guaranteed and Unsecured)",
      "SG ISSUER "&amp;Term!D2&amp;" "&amp;Term!$P$2&amp;"-month Memory Autocallable Range Accrual Equity Linked Notes (Non Principal Guaranteed and Unsecured)" ))</f>
        <v>SG ISSUER USD 10-month Memory Autocallable Range Accrual Equity Linked Notes (Non Principal Guaranteed and Unsecured)</v>
      </c>
    </row>
    <row r="52" spans="6:12">
      <c r="F52" t="s">
        <v>45</v>
      </c>
      <c r="G52" t="s">
        <v>46</v>
      </c>
      <c r="H52" t="s">
        <v>299</v>
      </c>
      <c r="K52" t="str">
        <f>"SG ISSUER "&amp;C3&amp;"計價"&amp;C2&amp;"增強紅利股權連結結構型商品（不保本及無擔保）"</f>
        <v>SG ISSUER 美元計價10年期增強紅利股權連結結構型商品（不保本及無擔保）</v>
      </c>
      <c r="L52" t="str">
        <f>"SG ISSUER "&amp;Term!D2&amp;" "&amp;Term!$P$2&amp;"-month Enhanced Bonus Equity Linked Notes (Non Principal Guaranteed and Unsecured)"</f>
        <v>SG ISSUER USD 10-month Enhanced Bonus Equity Linked Notes (Non Principal Guaranteed and Unsecured)</v>
      </c>
    </row>
    <row r="53" spans="6:12">
      <c r="F53" t="s">
        <v>45</v>
      </c>
      <c r="G53" t="s">
        <v>46</v>
      </c>
      <c r="H53" t="s">
        <v>300</v>
      </c>
      <c r="K53" t="s">
        <v>288</v>
      </c>
      <c r="L53" t="s">
        <v>288</v>
      </c>
    </row>
    <row r="54" spans="6:12">
      <c r="F54" t="s">
        <v>45</v>
      </c>
      <c r="G54" t="s">
        <v>46</v>
      </c>
      <c r="H54" t="s">
        <v>293</v>
      </c>
      <c r="K54" t="s">
        <v>288</v>
      </c>
      <c r="L54" t="s">
        <v>288</v>
      </c>
    </row>
    <row r="55" spans="6:12">
      <c r="F55" t="s">
        <v>45</v>
      </c>
      <c r="G55" t="s">
        <v>46</v>
      </c>
      <c r="H55" t="s">
        <v>1552</v>
      </c>
      <c r="K55" t="str">
        <f>IF(Term!$P$2=Term!$E$2,  "SG ISSUER "&amp;C3&amp;"計價"&amp;C2&amp;"固定配息股權連結結構型商品（不保本及無擔保）",
   IF(OR(Term!$L$2="Daily",Term!$L$2="Period End"),    "SG ISSUER "&amp;C3&amp;"計價"&amp;C2&amp;"固定配息可自動提前出場股權連結結構型商品（不保本及無擔保）",
      "SG ISSUER "&amp;C3&amp;"計價"&amp;C2&amp;"固定配息（記憶式自動提前出場）股權連結結構型商品（不保本及無擔保）"   ))</f>
        <v>SG ISSUER 美元計價10年期固定配息（記憶式自動提前出場）股權連結結構型商品（不保本及無擔保）</v>
      </c>
      <c r="L55" t="str">
        <f>IF(Term!$P$2=Term!$E$2,  "SG ISSUER "&amp;Term!D2&amp;" "&amp;Term!$P$2&amp;"-month Basket of Equity Linked Notes (Non Principal Guaranteed and Unsecured)",
   IF(OR(Term!$L$2="Daily", Term!$L$2="Period End"),   "SG ISSUER "&amp;Term!D2&amp;" "&amp;Term!$P$2&amp;"-month Autocallable Basket of Equity Linked Notes (Non Principal Guaranteed and Unsecured)",
      "SG ISSUER "&amp;Term!D2&amp;" "&amp;Term!$P$2&amp;"-month Memory Autocallable Basket of Equity Linked Notes (Non Principal Guaranteed and Unsecured)" ))</f>
        <v>SG ISSUER USD 10-month Memory Autocallable Basket of Equity Linked Notes (Non Principal Guaranteed and Unsecured)</v>
      </c>
    </row>
    <row r="56" spans="6:12">
      <c r="F56" t="s">
        <v>45</v>
      </c>
      <c r="G56" t="s">
        <v>46</v>
      </c>
      <c r="H56" t="s">
        <v>1578</v>
      </c>
      <c r="K56" t="str">
        <f>IF(Term!$P$2=Term!$E$2,  "SG ISSUER "&amp;C3&amp;"計價"&amp;C2&amp;"固定配息股權連結結構型商品（不保本及無擔保）",
   IF(OR(Term!$L$2="Daily",Term!$L$2="Period End"),    "SG ISSUER "&amp;C3&amp;"計價"&amp;C2&amp;"固定配息可自動提前出場股權連結結構型商品（不保本及無擔保）",
      "SG ISSUER "&amp;C3&amp;"計價"&amp;C2&amp;"固定配息（記憶式自動提前出場）股權連結結構型商品（不保本及無擔保）"   ))</f>
        <v>SG ISSUER 美元計價10年期固定配息（記憶式自動提前出場）股權連結結構型商品（不保本及無擔保）</v>
      </c>
      <c r="L56" t="str">
        <f>IF(Term!$P$2=Term!$E$2,  "SG ISSUER "&amp;Term!D2&amp;" "&amp;Term!$P$2&amp;"-month Basket of Equity Linked Notes (Non Principal Guaranteed and Unsecured)",
   IF(OR(Term!$L$2="Daily", Term!$L$2="Period End"),   "SG ISSUER "&amp;Term!D2&amp;" "&amp;Term!$P$2&amp;"-month Autocallable Basket of Equity Linked Notes (Non Principal Guaranteed and Unsecured)",
      "SG ISSUER "&amp;Term!D2&amp;" "&amp;Term!$P$2&amp;"-month Memory Autocallable Basket of Equity Linked Notes (Non Principal Guaranteed and Unsecured)" ))</f>
        <v>SG ISSUER USD 10-month Memory Autocallable Basket of Equity Linked Notes (Non Principal Guaranteed and Unsecured)</v>
      </c>
    </row>
    <row r="57" spans="6:12">
      <c r="F57" t="s">
        <v>47</v>
      </c>
      <c r="G57" t="s">
        <v>48</v>
      </c>
      <c r="H57" t="s">
        <v>286</v>
      </c>
      <c r="I57" t="s">
        <v>288</v>
      </c>
      <c r="J57" t="s">
        <v>288</v>
      </c>
      <c r="K57" t="s">
        <v>288</v>
      </c>
      <c r="L57" t="s">
        <v>288</v>
      </c>
    </row>
    <row r="58" spans="6:12">
      <c r="F58" t="s">
        <v>47</v>
      </c>
      <c r="G58" t="s">
        <v>48</v>
      </c>
      <c r="H58" t="s">
        <v>287</v>
      </c>
      <c r="I58" t="s">
        <v>288</v>
      </c>
      <c r="K58" t="s">
        <v>288</v>
      </c>
      <c r="L58" t="s">
        <v>288</v>
      </c>
    </row>
    <row r="59" spans="6:12">
      <c r="F59" t="s">
        <v>47</v>
      </c>
      <c r="G59" t="s">
        <v>48</v>
      </c>
      <c r="H59" t="s">
        <v>83</v>
      </c>
      <c r="I59" t="s">
        <v>288</v>
      </c>
      <c r="K59" t="s">
        <v>288</v>
      </c>
      <c r="L59" t="s">
        <v>288</v>
      </c>
    </row>
    <row r="60" spans="6:12">
      <c r="F60" t="s">
        <v>47</v>
      </c>
      <c r="G60" t="s">
        <v>48</v>
      </c>
      <c r="H60" t="s">
        <v>289</v>
      </c>
      <c r="K60" t="s">
        <v>288</v>
      </c>
      <c r="L60" t="s">
        <v>288</v>
      </c>
    </row>
    <row r="61" spans="6:12">
      <c r="F61" t="s">
        <v>47</v>
      </c>
      <c r="G61" t="s">
        <v>48</v>
      </c>
      <c r="H61" t="s">
        <v>89</v>
      </c>
      <c r="I61" t="s">
        <v>288</v>
      </c>
      <c r="J61" t="s">
        <v>288</v>
      </c>
      <c r="K61" t="s">
        <v>288</v>
      </c>
      <c r="L61" t="s">
        <v>288</v>
      </c>
    </row>
    <row r="62" spans="6:12">
      <c r="F62" t="s">
        <v>47</v>
      </c>
      <c r="G62" t="s">
        <v>48</v>
      </c>
      <c r="H62" t="s">
        <v>290</v>
      </c>
      <c r="I62" t="s">
        <v>288</v>
      </c>
      <c r="J62" t="s">
        <v>288</v>
      </c>
      <c r="K62" t="s">
        <v>288</v>
      </c>
      <c r="L62" t="s">
        <v>288</v>
      </c>
    </row>
    <row r="63" spans="6:12">
      <c r="F63" t="s">
        <v>47</v>
      </c>
      <c r="G63" t="s">
        <v>48</v>
      </c>
      <c r="H63" t="s">
        <v>93</v>
      </c>
      <c r="I63" t="s">
        <v>288</v>
      </c>
      <c r="K63" t="str">
        <f>"瑞銀"&amp;IF(Term!$L$2="Daily Memory","每日觀察記憶式",IF(Term!$L$2="Daily","每日觀察",IF(Term!$L$2="Period End Memory","定期觀察記憶式","定期觀察")))&amp;"提前出場固定配息連結股票（不保本）"&amp;IF(ISBLANK(Term!$S$2),"","（含觸及下限價事件）")&amp;"（無擔保）（無保證機構）結構型債券"</f>
        <v>瑞銀定期觀察提前出場固定配息連結股票（不保本）（無擔保）（無保證機構）結構型債券</v>
      </c>
      <c r="L63" t="str">
        <f>"UBS "&amp;IF(Term!$L$2="Daily Memory","Daily Memory",IF(Term!$L$2="Daily","Daily",IF(Term!$L$2="Period End Memory","Periodic Memory","Periodic")))&amp;" Callable Variable Maturity Equity Linked Notes"&amp;IF(ISBLANK(Term!$S$2),""," with Kick-in Event and")&amp;" with Fixed Coupon"</f>
        <v>UBS Periodic Callable Variable Maturity Equity Linked Notes with Fixed Coupon</v>
      </c>
    </row>
    <row r="64" spans="6:12">
      <c r="F64" t="s">
        <v>47</v>
      </c>
      <c r="G64" t="s">
        <v>48</v>
      </c>
      <c r="H64" t="s">
        <v>1580</v>
      </c>
      <c r="K64" t="str">
        <f>"瑞銀"&amp;IF(Term!$L$2="Daily Memory","每日觀察記憶式",IF(Term!$L$2="Daily","每日觀察",IF(Term!$L$2="Period End Memory","定期觀察記憶式","定期觀察")))&amp;"提前出場固定配息連結股票（不保本）"&amp;IF(ISBLANK(Term!$S$2),"","（含觸及下限價事件）")&amp;"（無擔保）（無保證機構）結構型債券"</f>
        <v>瑞銀定期觀察提前出場固定配息連結股票（不保本）（無擔保）（無保證機構）結構型債券</v>
      </c>
      <c r="L64" t="str">
        <f>"UBS "&amp;IF(Term!$L$2="Daily Memory","Daily Memory",IF(Term!$L$2="Daily","Daily",IF(Term!$L$2="Period End Memory","Periodic Memory","Periodic")))&amp;" Callable Variable Maturity Equity Linked Notes"&amp;IF(ISBLANK(Term!$S$2),""," with Kick-in Event and")&amp;" with Fixed Coupon"</f>
        <v>UBS Periodic Callable Variable Maturity Equity Linked Notes with Fixed Coupon</v>
      </c>
    </row>
    <row r="65" spans="6:12">
      <c r="F65" t="s">
        <v>47</v>
      </c>
      <c r="G65" t="s">
        <v>48</v>
      </c>
      <c r="H65" t="s">
        <v>291</v>
      </c>
      <c r="I65" t="s">
        <v>288</v>
      </c>
      <c r="K65" t="str">
        <f>"瑞銀"&amp;IF(Term!$L$2="Daily Memory","每日觀察記憶式",IF(Term!$L$2="Daily","每日觀察",IF(Term!$L$2="Period End Memory","定期觀察記憶式","定期觀察")))&amp;"提前出場區間累計配息連結"&amp;IF(ISBLANK(Term!$G$2),"股票","一籃子股票")&amp;"（不保本）"&amp;IF(ISBLANK(Term!$S$2),"","（含觸及下限價事件）")&amp;"（無擔保）（無保證機構）結構型債券"</f>
        <v>瑞銀定期觀察提前出場區間累計配息連結股票（不保本）（無擔保）（無保證機構）結構型債券</v>
      </c>
      <c r="L65" t="str">
        <f>"UBS "&amp;IF(Term!$L$2="Daily Memory","Daily Memory",IF(Term!$L$2="Daily","Daily",IF(Term!$L$2="Period End Memory","Periodic Memory","Periodic")))&amp;" Callable Variable Maturity Range Accrual Equity Linked（Laggard） Notes"&amp;IF(ISBLANK(Term!$S$2),""," with Kick-in Event and")&amp;" with Fixed Coupon"</f>
        <v>UBS Periodic Callable Variable Maturity Range Accrual Equity Linked（Laggard） Notes with Fixed Coupon</v>
      </c>
    </row>
    <row r="66" spans="6:12">
      <c r="F66" t="s">
        <v>47</v>
      </c>
      <c r="G66" t="s">
        <v>48</v>
      </c>
      <c r="H66" t="s">
        <v>299</v>
      </c>
      <c r="K66" t="s">
        <v>288</v>
      </c>
      <c r="L66" t="s">
        <v>288</v>
      </c>
    </row>
    <row r="67" spans="6:12">
      <c r="F67" t="s">
        <v>47</v>
      </c>
      <c r="G67" t="s">
        <v>48</v>
      </c>
      <c r="H67" t="s">
        <v>300</v>
      </c>
      <c r="K67" t="s">
        <v>288</v>
      </c>
      <c r="L67" t="s">
        <v>288</v>
      </c>
    </row>
    <row r="68" spans="6:12">
      <c r="F68" t="s">
        <v>47</v>
      </c>
      <c r="G68" t="s">
        <v>48</v>
      </c>
      <c r="H68" t="s">
        <v>293</v>
      </c>
      <c r="K68" t="s">
        <v>296</v>
      </c>
      <c r="L68" t="s">
        <v>297</v>
      </c>
    </row>
    <row r="69" spans="6:12">
      <c r="F69" t="s">
        <v>49</v>
      </c>
      <c r="G69" t="s">
        <v>50</v>
      </c>
      <c r="H69" t="s">
        <v>286</v>
      </c>
      <c r="I69" t="s">
        <v>288</v>
      </c>
      <c r="J69" t="s">
        <v>288</v>
      </c>
      <c r="K69" t="s">
        <v>288</v>
      </c>
      <c r="L69" t="s">
        <v>288</v>
      </c>
    </row>
    <row r="70" spans="6:12">
      <c r="F70" t="s">
        <v>49</v>
      </c>
      <c r="G70" t="s">
        <v>50</v>
      </c>
      <c r="H70" t="s">
        <v>287</v>
      </c>
      <c r="I70" t="s">
        <v>288</v>
      </c>
      <c r="K70" t="s">
        <v>288</v>
      </c>
      <c r="L70" t="s">
        <v>288</v>
      </c>
    </row>
    <row r="71" spans="6:12">
      <c r="F71" t="s">
        <v>49</v>
      </c>
      <c r="G71" t="s">
        <v>50</v>
      </c>
      <c r="H71" t="s">
        <v>83</v>
      </c>
      <c r="I71" t="s">
        <v>288</v>
      </c>
      <c r="K71" t="s">
        <v>288</v>
      </c>
      <c r="L71" t="s">
        <v>288</v>
      </c>
    </row>
    <row r="72" spans="6:12">
      <c r="F72" t="s">
        <v>49</v>
      </c>
      <c r="G72" t="s">
        <v>50</v>
      </c>
      <c r="H72" t="s">
        <v>289</v>
      </c>
      <c r="K72" t="s">
        <v>288</v>
      </c>
    </row>
    <row r="73" spans="6:12">
      <c r="F73" t="s">
        <v>49</v>
      </c>
      <c r="G73" t="s">
        <v>50</v>
      </c>
      <c r="H73" t="s">
        <v>89</v>
      </c>
      <c r="I73" t="s">
        <v>288</v>
      </c>
      <c r="J73" t="s">
        <v>288</v>
      </c>
      <c r="K73" t="s">
        <v>288</v>
      </c>
      <c r="L73" t="s">
        <v>288</v>
      </c>
    </row>
    <row r="74" spans="6:12">
      <c r="F74" t="s">
        <v>49</v>
      </c>
      <c r="G74" t="s">
        <v>50</v>
      </c>
      <c r="H74" t="s">
        <v>290</v>
      </c>
      <c r="I74" t="str">
        <f>IF(COUNTIF(Underlying!$C:$C,Term!$F$2)&gt;0,"股權",IF(COUNTIF(Underlying!$G:$G,Term!$F$2)&gt;0,"利率","匯率"))</f>
        <v>匯率</v>
      </c>
      <c r="K74" t="str">
        <f>IF($I$14="利率",IF(Term!$L$2&gt;0,"Nomura International Funding Pte. Ltd.發行"&amp;$C$2&amp;$C$3&amp;"計價(可自動提前出場)連結"&amp;$I$74&amp;"每日計息結構型商品(無擔保)","Nomura International Funding Pte. Ltd.發行"&amp;$C$2&amp;$C$3&amp;"計價發行機構可提前買回連結"&amp;$I$74&amp;"每日計息結構型商品(無擔保)"),"-")</f>
        <v>-</v>
      </c>
      <c r="L74" t="str">
        <f>IF($I$14="利率",IF(Term!$L$2&gt;0,Term!$P$2&amp;" Year "&amp;Term!$D$2&amp;" Autocallable Rates Daily Range Accrual Notes issued by Nomura International Funding Pte. Ltd. (unsecured)",Term!$P$2&amp;" Year "&amp;Term!$D$2&amp;" Callable Rates Daily Range Accrual Notes issued by Nomura International Funding Pte. Ltd. (unsecured)"),"-")</f>
        <v>-</v>
      </c>
    </row>
    <row r="75" spans="6:12">
      <c r="F75" t="s">
        <v>49</v>
      </c>
      <c r="G75" t="s">
        <v>50</v>
      </c>
      <c r="H75" t="s">
        <v>93</v>
      </c>
      <c r="I75" t="s">
        <v>288</v>
      </c>
      <c r="K75" t="str">
        <f>"Nomura International Funding Pte. Ltd.發行"&amp;C2&amp;C3&amp;"計價固定配息"&amp;IF(OR(Term!$P$2=Term!$E$2,Term!$L$2="Daily",Term!$L$2="Period End"),"（自動提前出場）","（記憶式自動提前出場）")&amp;IF(ISBLANK(Term!$G$2),"股票連結","連結一籃子股票")&amp;"結構型商品（無擔保）"</f>
        <v>Nomura International Funding Pte. Ltd.發行10年期美元計價固定配息（記憶式自動提前出場）股票連結結構型商品（無擔保）</v>
      </c>
      <c r="L75" t="str">
        <f>Term!$P$2&amp;"-Month "&amp;Term!D2&amp;" Autocall Fixed Coupon Notes"&amp;IF(Term!$P$2=Term!$E$2,"",IF(OR(Term!$L$2="Daily",Term!$L$2="Period End")," with Knock-Out"," with Memory Knock-Out"))&amp;" linked to "&amp;IF(ISBLANK(Term!$G$2),"a Single Stock","a basket of stocks")&amp;" issued by Nomura International Funding Pte. Ltd. (unsecured)"</f>
        <v>10-Month USD Autocall Fixed Coupon Notes with Memory Knock-Out linked to a Single Stock issued by Nomura International Funding Pte. Ltd. (unsecured)</v>
      </c>
    </row>
    <row r="76" spans="6:12">
      <c r="F76" t="s">
        <v>49</v>
      </c>
      <c r="G76" t="s">
        <v>50</v>
      </c>
      <c r="H76" t="s">
        <v>1580</v>
      </c>
      <c r="K76" t="str">
        <f>"Nomura International Funding Pte. Ltd.發行"&amp;C2&amp;C3&amp;"計價固定配息"&amp;IF(OR(Term!$P$2=Term!$E$2,Term!$L$2="Daily",Term!$L$2="Period End"),"（自動提前出場）","（記憶式自動提前出場）")&amp;IF(ISBLANK(Term!$G$2),"股票連結","連結一籃子股票")&amp;"結構型商品（無擔保）"</f>
        <v>Nomura International Funding Pte. Ltd.發行10年期美元計價固定配息（記憶式自動提前出場）股票連結結構型商品（無擔保）</v>
      </c>
      <c r="L76" t="str">
        <f>Term!$P$2&amp;"-Month "&amp;Term!D2&amp;" Autocall Fixed Coupon Notes"&amp;IF(Term!$P$2=Term!$E$2,"",IF(OR(Term!$L$2="Daily",Term!$L$2="Period End")," with Knock-Out"," with Memory Knock-Out"))&amp;" linked to "&amp;IF(ISBLANK(Term!$G$2),"a Single Stock","a basket of stocks")&amp;" issued by Nomura International Funding Pte. Ltd. (unsecured)"</f>
        <v>10-Month USD Autocall Fixed Coupon Notes with Memory Knock-Out linked to a Single Stock issued by Nomura International Funding Pte. Ltd. (unsecured)</v>
      </c>
    </row>
    <row r="77" spans="6:12">
      <c r="F77" t="s">
        <v>49</v>
      </c>
      <c r="G77" t="s">
        <v>50</v>
      </c>
      <c r="H77" t="s">
        <v>291</v>
      </c>
      <c r="I77" t="s">
        <v>288</v>
      </c>
      <c r="K77" t="str">
        <f>"Nomura International Funding Pte. Ltd.發行"&amp;C2&amp;C3&amp;"計價每日計息"&amp;IF(OR(Term!$P$2=Term!$E$2,Term!$L$2="Daily",Term!$L$2="Period End"),"（自動提前出場）","（記憶式自動提前出場）")&amp;IF(ISBLANK(Term!$G$2),"股票連結","連結一籃子股票")&amp;"結構型商品（無擔保）"</f>
        <v>Nomura International Funding Pte. Ltd.發行10年期美元計價每日計息（記憶式自動提前出場）股票連結結構型商品（無擔保）</v>
      </c>
      <c r="L77" t="str">
        <f>Term!$P$2&amp;"-Month "&amp;Term!D2&amp;" Autocall Daily Range Accrual Notes"&amp;IF(Term!$P$2=Term!$E$2,"",IF(OR(Term!$L$2="Daily",Term!$L$2="Period End")," with Knock-Out"," with Memory Knock-Out"))&amp;" linked to "&amp;IF(ISBLANK(Term!$G$2),"a Single Stock","a basket of stocks")&amp;" issued by Nomura International Funding Pte. Ltd. (unsecured)"</f>
        <v>10-Month USD Autocall Daily Range Accrual Notes with Memory Knock-Out linked to a Single Stock issued by Nomura International Funding Pte. Ltd. (unsecured)</v>
      </c>
    </row>
    <row r="78" spans="6:12">
      <c r="F78" t="s">
        <v>49</v>
      </c>
      <c r="G78" t="s">
        <v>50</v>
      </c>
      <c r="H78" t="s">
        <v>299</v>
      </c>
      <c r="K78" t="str">
        <f>"Nomura International Funding Pte. Ltd.發行"&amp;C2&amp;C3&amp;"計價"&amp;IF(Term!$E$2&lt;Term!$P$2,"（自動提前出場）","")&amp;IF(ISBLANK(Term!$G$2),"股權連結","連結一籃子股票")&amp;"結構型商品（無擔保）"</f>
        <v>Nomura International Funding Pte. Ltd.發行10年期美元計價股權連結結構型商品（無擔保）</v>
      </c>
      <c r="L78" t="str">
        <f>Term!$P$2&amp;"-Month "&amp;Term!D2&amp;IF(Term!$E$2&lt;Term!$P$2," Autocallable","")&amp;" Bonus Enhanced Note linked to a basket of stocks issued by Nomura International Funding Pte. Ltd. (unsecured)"</f>
        <v>10-Month USD Bonus Enhanced Note linked to a basket of stocks issued by Nomura International Funding Pte. Ltd. (unsecured)</v>
      </c>
    </row>
    <row r="79" spans="6:12">
      <c r="F79" t="s">
        <v>49</v>
      </c>
      <c r="G79" t="s">
        <v>50</v>
      </c>
      <c r="H79" t="s">
        <v>300</v>
      </c>
      <c r="K79" t="str">
        <f>"Nomura International Funding Pte. Ltd.發行"&amp;C2&amp;C3&amp;"計價"&amp;IF(Term!$E$2&lt;Term!$P$2,"（自動提前出場）","")&amp;IF(ISBLANK(Term!$G$2),"股權連結","連結一籃子股票")&amp;"結構型商品（無擔保）"</f>
        <v>Nomura International Funding Pte. Ltd.發行10年期美元計價股權連結結構型商品（無擔保）</v>
      </c>
      <c r="L79" t="str">
        <f>Term!$P$2&amp;"-Month "&amp;Term!D2&amp;IF(Term!$E$2&lt;Term!$P$2," Autocallable","")&amp;IF(ISBLANK(Term!$G$2)," Digital Coupon Note linked to a Single Stock"," Digital Coupon Note linked to a basket of stocks")&amp;" issued by Nomura International Funding Pte. Ltd. (unsecured)"</f>
        <v>10-Month USD Digital Coupon Note linked to a Single Stock issued by Nomura International Funding Pte. Ltd. (unsecured)</v>
      </c>
    </row>
    <row r="80" spans="6:12">
      <c r="F80" t="s">
        <v>49</v>
      </c>
      <c r="G80" t="s">
        <v>50</v>
      </c>
      <c r="H80" t="s">
        <v>293</v>
      </c>
      <c r="K80" t="s">
        <v>288</v>
      </c>
      <c r="L80" t="s">
        <v>288</v>
      </c>
    </row>
    <row r="81" spans="6:12">
      <c r="F81" t="s">
        <v>51</v>
      </c>
      <c r="G81" t="s">
        <v>52</v>
      </c>
      <c r="H81" t="s">
        <v>286</v>
      </c>
      <c r="I81" t="s">
        <v>288</v>
      </c>
      <c r="J81" t="s">
        <v>288</v>
      </c>
      <c r="K81" t="s">
        <v>288</v>
      </c>
      <c r="L81" t="s">
        <v>288</v>
      </c>
    </row>
    <row r="82" spans="6:12">
      <c r="F82" t="s">
        <v>51</v>
      </c>
      <c r="G82" t="s">
        <v>52</v>
      </c>
      <c r="H82" t="s">
        <v>287</v>
      </c>
      <c r="I82" t="s">
        <v>288</v>
      </c>
      <c r="J82" t="s">
        <v>288</v>
      </c>
      <c r="K82" t="s">
        <v>288</v>
      </c>
      <c r="L82" t="s">
        <v>288</v>
      </c>
    </row>
    <row r="83" spans="6:12">
      <c r="F83" t="s">
        <v>51</v>
      </c>
      <c r="G83" t="s">
        <v>52</v>
      </c>
      <c r="H83" t="s">
        <v>83</v>
      </c>
      <c r="I83" t="s">
        <v>288</v>
      </c>
      <c r="J83" t="s">
        <v>288</v>
      </c>
      <c r="K83" t="s">
        <v>288</v>
      </c>
      <c r="L83" t="s">
        <v>288</v>
      </c>
    </row>
    <row r="84" spans="6:12">
      <c r="F84" t="s">
        <v>51</v>
      </c>
      <c r="G84" t="s">
        <v>52</v>
      </c>
      <c r="H84" t="s">
        <v>289</v>
      </c>
      <c r="K84" t="str">
        <f>"英商巴克萊銀行"&amp;D2&amp;C3&amp;"計價紅利配息可買回結構型商品（無擔保及無保證機構）"</f>
        <v>英商巴克萊銀行十年期美元計價紅利配息可買回結構型商品（無擔保及無保證機構）</v>
      </c>
      <c r="L84" t="str">
        <f>Term!$P$2&amp;" Years "&amp;Term!D2&amp;" Callable Note with Bonus Coupon issued by Barclays Bank PLC (unsecured and non-guaranteed)"</f>
        <v>10 Years USD Callable Note with Bonus Coupon issued by Barclays Bank PLC (unsecured and non-guaranteed)</v>
      </c>
    </row>
    <row r="85" spans="6:12">
      <c r="F85" t="s">
        <v>51</v>
      </c>
      <c r="G85" t="s">
        <v>52</v>
      </c>
      <c r="H85" t="s">
        <v>89</v>
      </c>
      <c r="I85" t="s">
        <v>288</v>
      </c>
      <c r="J85" t="s">
        <v>288</v>
      </c>
      <c r="K85" t="s">
        <v>288</v>
      </c>
      <c r="L85" t="s">
        <v>288</v>
      </c>
    </row>
    <row r="86" spans="6:12">
      <c r="F86" t="s">
        <v>51</v>
      </c>
      <c r="G86" t="s">
        <v>52</v>
      </c>
      <c r="H86" t="s">
        <v>290</v>
      </c>
      <c r="I86" t="s">
        <v>288</v>
      </c>
      <c r="J86" t="s">
        <v>288</v>
      </c>
      <c r="K86" t="str">
        <f>IF(Term!$M$2&gt;0, "英商巴克萊銀行"&amp;$D$2&amp;$C$3&amp;"計價區間每日計息可自動提前贖回結構型商品（無擔保及無保證機構）","英商巴克萊銀行"&amp;$D$2&amp;$C$3&amp;"計價區間每日計息可買回結構型商品（無擔保及無保證機構）")</f>
        <v>英商巴克萊銀行十年期美元計價區間每日計息可買回結構型商品（無擔保及無保證機構）</v>
      </c>
      <c r="L86" t="str">
        <f>IF(Term!$M$2&gt;0, Term!$P$2&amp;" Years "&amp;Term!$D$2&amp;" Daily Range Accrual Autocallable Note issued by Barclays Bank PLC (unsecured and non-guaranteed)", Term!$P$2&amp;" Years "&amp;Term!$D$2&amp;" Daily Range Accrual Callable Note issued by Barclays Bank PLC (unsecured and non-guaranteed)")</f>
        <v>10 Years USD Daily Range Accrual Callable Note issued by Barclays Bank PLC (unsecured and non-guaranteed)</v>
      </c>
    </row>
    <row r="87" spans="6:12">
      <c r="F87" t="s">
        <v>51</v>
      </c>
      <c r="G87" t="s">
        <v>52</v>
      </c>
      <c r="H87" t="s">
        <v>93</v>
      </c>
      <c r="I87" t="s">
        <v>288</v>
      </c>
      <c r="J87" t="s">
        <v>288</v>
      </c>
      <c r="K87" t="str">
        <f>IF(OR(Term!$L$2="Daily",Term!$L$2="Period End"),SUBSTITUTE("英商巴克萊銀行"&amp;C2&amp;C3&amp;"計價連結股權記憶式自動提前出場結構型商品（無擔保及無保證機構）","記憶式",""),"英商巴克萊銀行"&amp;C2&amp;C3&amp;"計價連結股權記憶式自動提前出場結構型商品（無擔保及無保證機構）")</f>
        <v>英商巴克萊銀行10年期美元計價連結股權記憶式自動提前出場結構型商品（無擔保及無保證機構）</v>
      </c>
      <c r="L87" t="str">
        <f>IF(OR(Term!$L$2="Daily",Term!$L$2="Period End"),SUBSTITUTE(Term!$P$2&amp;" Months "&amp;Term!D2&amp;" Memory Autocallable Equity linked Note issued by Barclays Bank PLC (unsecured and non-guaranteed)"," Memory",""),Term!$P$2&amp;" Months "&amp;Term!D2&amp;" Memory Autocallable Equity linked Note issued by Barclays Bank PLC (unsecured and non-guaranteed)")</f>
        <v>10 Months USD Memory Autocallable Equity linked Note issued by Barclays Bank PLC (unsecured and non-guaranteed)</v>
      </c>
    </row>
    <row r="88" spans="6:12">
      <c r="F88" t="s">
        <v>51</v>
      </c>
      <c r="G88" t="s">
        <v>52</v>
      </c>
      <c r="H88" t="s">
        <v>1580</v>
      </c>
      <c r="I88" t="s">
        <v>288</v>
      </c>
      <c r="J88" t="s">
        <v>288</v>
      </c>
      <c r="K88" t="str">
        <f>IF(OR(Term!$L$2="Daily",Term!$L$2="Period End"),SUBSTITUTE("英商巴克萊銀行"&amp;C2&amp;C3&amp;"計價連結股權記憶式自動提前出場結構型商品（無擔保及無保證機構）","記憶式",""),"英商巴克萊銀行"&amp;C2&amp;C3&amp;"計價連結股權記憶式自動提前出場結構型商品（無擔保及無保證機構）")</f>
        <v>英商巴克萊銀行10年期美元計價連結股權記憶式自動提前出場結構型商品（無擔保及無保證機構）</v>
      </c>
      <c r="L88" t="str">
        <f>IF(OR(Term!$L$2="Daily",Term!$L$2="Period End"),SUBSTITUTE(Term!$P$2&amp;" Months "&amp;Term!D2&amp;" Memory Autocallable Equity linked Note issued by Barclays Bank PLC (unsecured and non-guaranteed)"," Memory",""),Term!$P$2&amp;" Months "&amp;Term!D2&amp;" Memory Autocallable Equity linked Note issued by Barclays Bank PLC (unsecured and non-guaranteed)")</f>
        <v>10 Months USD Memory Autocallable Equity linked Note issued by Barclays Bank PLC (unsecured and non-guaranteed)</v>
      </c>
    </row>
    <row r="89" spans="6:12">
      <c r="F89" t="s">
        <v>51</v>
      </c>
      <c r="G89" t="s">
        <v>52</v>
      </c>
      <c r="H89" t="s">
        <v>1586</v>
      </c>
      <c r="K89" t="str">
        <f>IF(OR(Term!$L$2="Daily",Term!$L$2="Period End"),SUBSTITUTE("英商巴克萊銀行"&amp;C2&amp;C3&amp;"計價連結股權記憶式自動提前出場結構型商品（無擔保及無保證機構）","記憶式",""),"英商巴克萊銀行"&amp;C2&amp;C3&amp;"計價連結股權記憶式自動提前出場結構型商品（無擔保及無保證機構）")</f>
        <v>英商巴克萊銀行10年期美元計價連結股權記憶式自動提前出場結構型商品（無擔保及無保證機構）</v>
      </c>
      <c r="L89" t="str">
        <f>IF(OR(Term!$L$2="Daily",Term!$L$2="Period End"),SUBSTITUTE(Term!$P$2&amp;" Months "&amp;Term!D2&amp;" Memory Autocallable Equity linked Note issued by Barclays Bank PLC (unsecured and non-guaranteed)"," Memory",""),Term!$P$2&amp;" Months "&amp;Term!D2&amp;" Memory Autocallable Equity linked Note issued by Barclays Bank PLC (unsecured and non-guaranteed)")</f>
        <v>10 Months USD Memory Autocallable Equity linked Note issued by Barclays Bank PLC (unsecured and non-guaranteed)</v>
      </c>
    </row>
    <row r="90" spans="6:12">
      <c r="F90" t="s">
        <v>51</v>
      </c>
      <c r="G90" t="s">
        <v>52</v>
      </c>
      <c r="H90" t="s">
        <v>291</v>
      </c>
      <c r="I90" t="s">
        <v>288</v>
      </c>
      <c r="J90" t="s">
        <v>288</v>
      </c>
      <c r="K90" t="str">
        <f>IF(OR(Term!$L$2="Daily",Term!$L$2="Period End"),SUBSTITUTE("英商巴克萊銀行"&amp;C2&amp;C3&amp;"計價連結股權記憶式自動提前出場結構型商品（無擔保及無保證機構）","記憶式",""),"英商巴克萊銀行"&amp;C2&amp;C3&amp;"計價連結股權記憶式自動提前出場結構型商品（無擔保及無保證機構）")</f>
        <v>英商巴克萊銀行10年期美元計價連結股權記憶式自動提前出場結構型商品（無擔保及無保證機構）</v>
      </c>
      <c r="L90" t="str">
        <f>IF(OR(Term!$L$2="Daily",Term!$L$2="Period End"),SUBSTITUTE(Term!$P$2&amp;" Months "&amp;Term!D2&amp;" Memory Autocallable Equity linked Note issued by Barclays Bank PLC (unsecured and non-guaranteed)"," Memory",""),Term!$P$2&amp;" Months "&amp;Term!D2&amp;" Memory Autocallable Equity linked Note issued by Barclays Bank PLC (unsecured and non-guaranteed)")</f>
        <v>10 Months USD Memory Autocallable Equity linked Note issued by Barclays Bank PLC (unsecured and non-guaranteed)</v>
      </c>
    </row>
    <row r="91" spans="6:12">
      <c r="F91" t="s">
        <v>51</v>
      </c>
      <c r="G91" t="s">
        <v>52</v>
      </c>
      <c r="H91" t="s">
        <v>299</v>
      </c>
      <c r="K91" t="str">
        <f>"英商巴克萊銀行"&amp;$C$2&amp;$C$3&amp;"計價連結股權結構型商品（無擔保及無保證機構)"</f>
        <v>英商巴克萊銀行10年期美元計價連結股權結構型商品（無擔保及無保證機構)</v>
      </c>
      <c r="L91" t="str">
        <f>Term!$P$2&amp;" Months "&amp;Term!$D$2&amp;" Bonus Enhance Equity Linked Note issued by Barclays Bank PLC (unsecured and non-guaranteed)"</f>
        <v>10 Months USD Bonus Enhance Equity Linked Note issued by Barclays Bank PLC (unsecured and non-guaranteed)</v>
      </c>
    </row>
    <row r="92" spans="6:12">
      <c r="F92" t="s">
        <v>51</v>
      </c>
      <c r="G92" t="s">
        <v>52</v>
      </c>
      <c r="H92" t="s">
        <v>300</v>
      </c>
      <c r="K92" t="str">
        <f>"英商巴克萊銀行"&amp;$C$2&amp;$C$3&amp;"計價連結股權結構型商品（無擔保及無保證機構)"</f>
        <v>英商巴克萊銀行10年期美元計價連結股權結構型商品（無擔保及無保證機構)</v>
      </c>
      <c r="L92" t="str">
        <f>Term!$P$2&amp;" Months "&amp;Term!$D$2&amp;" Digital Equity Linked Note issued by Barclays Bank PLC (unsecured and non-guaranteed)"</f>
        <v>10 Months USD Digital Equity Linked Note issued by Barclays Bank PLC (unsecured and non-guaranteed)</v>
      </c>
    </row>
    <row r="93" spans="6:12">
      <c r="F93" t="s">
        <v>51</v>
      </c>
      <c r="G93" t="s">
        <v>52</v>
      </c>
      <c r="H93" t="s">
        <v>293</v>
      </c>
      <c r="K93" t="str">
        <f>"英商巴克萊銀行"&amp;C2&amp;C3&amp;"計價連結債券結構型商品（無擔保及無保證機構）"</f>
        <v>英商巴克萊銀行10年期美元計價連結債券結構型商品（無擔保及無保證機構）</v>
      </c>
      <c r="L93" t="str">
        <f>Term!$P$2&amp;" Months "&amp;Term!D2&amp;" US Treasury Linked Note issued by Barclays Bank PLC (unsecured and non-guaranteed)"</f>
        <v>10 Months USD US Treasury Linked Note issued by Barclays Bank PLC (unsecured and non-guaranteed)</v>
      </c>
    </row>
    <row r="94" spans="6:12">
      <c r="F94" t="s">
        <v>53</v>
      </c>
      <c r="G94" t="s">
        <v>54</v>
      </c>
      <c r="H94" t="s">
        <v>286</v>
      </c>
      <c r="I94" t="s">
        <v>288</v>
      </c>
      <c r="J94" t="s">
        <v>288</v>
      </c>
      <c r="K94" t="s">
        <v>288</v>
      </c>
      <c r="L94" t="s">
        <v>288</v>
      </c>
    </row>
    <row r="95" spans="6:12">
      <c r="F95" t="s">
        <v>53</v>
      </c>
      <c r="G95" t="s">
        <v>54</v>
      </c>
      <c r="H95" t="s">
        <v>287</v>
      </c>
      <c r="I95" t="s">
        <v>288</v>
      </c>
      <c r="J95" t="s">
        <v>288</v>
      </c>
      <c r="K95" t="str">
        <f>"CGMHI "&amp;C2&amp;C3&amp;"計價連結單一連結標的並由花旗集團保證之結構型商品（無擔保）"</f>
        <v>CGMHI 10年期美元計價連結單一連結標的並由花旗集團保證之結構型商品（無擔保）</v>
      </c>
      <c r="L95" t="str">
        <f>Term!$P$2&amp;"-Month "&amp;Term!$D$2&amp;" Double Knock Out Notes linked to Single Underlying issued by Citigroup Global Markets Holdings Inc. and guaranteed by Citigroup Inc. (Unsecured)"</f>
        <v>10-Month USD Double Knock Out Notes linked to Single Underlying issued by Citigroup Global Markets Holdings Inc. and guaranteed by Citigroup Inc. (Unsecured)</v>
      </c>
    </row>
    <row r="96" spans="6:12">
      <c r="F96" t="s">
        <v>53</v>
      </c>
      <c r="G96" t="s">
        <v>54</v>
      </c>
      <c r="H96" t="s">
        <v>83</v>
      </c>
      <c r="I96" t="s">
        <v>288</v>
      </c>
      <c r="J96" t="s">
        <v>288</v>
      </c>
      <c r="K96" t="s">
        <v>288</v>
      </c>
      <c r="L96" t="s">
        <v>288</v>
      </c>
    </row>
    <row r="97" spans="6:12">
      <c r="F97" t="s">
        <v>53</v>
      </c>
      <c r="G97" t="s">
        <v>54</v>
      </c>
      <c r="H97" t="s">
        <v>289</v>
      </c>
      <c r="K97" t="s">
        <v>288</v>
      </c>
      <c r="L97" t="s">
        <v>288</v>
      </c>
    </row>
    <row r="98" spans="6:12">
      <c r="F98" t="s">
        <v>53</v>
      </c>
      <c r="G98" t="s">
        <v>54</v>
      </c>
      <c r="H98" t="s">
        <v>89</v>
      </c>
      <c r="I98" t="s">
        <v>288</v>
      </c>
      <c r="J98" t="s">
        <v>288</v>
      </c>
      <c r="K98" t="s">
        <v>288</v>
      </c>
      <c r="L98" t="s">
        <v>288</v>
      </c>
    </row>
    <row r="99" spans="6:12">
      <c r="F99" t="s">
        <v>53</v>
      </c>
      <c r="G99" t="s">
        <v>54</v>
      </c>
      <c r="H99" t="s">
        <v>290</v>
      </c>
      <c r="I99" t="s">
        <v>288</v>
      </c>
      <c r="J99" t="s">
        <v>288</v>
      </c>
      <c r="K99" t="str">
        <f>IF(ISBLANK(Term!$G$2),"Citigroup Global Markets Holdings Inc. "&amp;$C$2&amp;$C$3&amp;"計價（發行機構可買回）"&amp;"連結單標的"&amp;"每日計息結構型商品（無擔保）","-")</f>
        <v>Citigroup Global Markets Holdings Inc. 10年期美元計價（發行機構可買回）連結單標的每日計息結構型商品（無擔保）</v>
      </c>
      <c r="L99" t="str">
        <f>IF(ISBLANK(Term!$G$2),Term!$P$2&amp;Term!$Q$2&amp;" "&amp;Term!D2&amp;" Daily Range Accrual Callable Note Linked to "&amp;"Single Underlying issued by Citigroup Global Markets Holdings Inc. (Unsecured)","-")</f>
        <v>10Y USD Daily Range Accrual Callable Note Linked to Single Underlying issued by Citigroup Global Markets Holdings Inc. (Unsecured)</v>
      </c>
    </row>
    <row r="100" spans="6:12">
      <c r="F100" t="s">
        <v>53</v>
      </c>
      <c r="G100" t="s">
        <v>54</v>
      </c>
      <c r="H100" t="s">
        <v>93</v>
      </c>
      <c r="I100" t="s">
        <v>288</v>
      </c>
      <c r="J100" t="s">
        <v>288</v>
      </c>
      <c r="K100" t="str">
        <f>IF(Term!$P$2=Term!$E$2,      "CGMHI "&amp;C2&amp;C3&amp;"計價連結",
    IF(OR(Term!$L$2="Daily",Term!$L$2="Period End"),       "CGMHI "&amp;C2&amp;C3&amp;"計價（自動提前出場）連結",
       "CGMHI "&amp;C2&amp;C3&amp;"計價（記憶式自動提前出場）連結"    )  )
&amp; IF(ISBLANK(Term!$G$2),       "單一連結標的並由花旗集團保證之固定配息結構型商品 （無擔保） （不保本）",       "一籃子連結標的中表現最差並由花旗集團保證之固定配息結構型商品 （無擔保） （不保本）"    )</f>
        <v>CGMHI 10年期美元計價（記憶式自動提前出場）連結單一連結標的並由花旗集團保證之固定配息結構型商品 （無擔保） （不保本）</v>
      </c>
      <c r="L100" t="str">
        <f>Term!$P$2&amp;"-Month "&amp;Term!D2&amp;" Fixed Coupon"&amp;IF(Term!$P$2=Term!$E$2," "," Autocall ")&amp;"Note linked to "&amp;IF(ISBLANK(Term!$G$2),"Single","the Worst Performing")&amp;" Underlying in the basket issued by Citigroup Global Markets Holdings Inc. and guaranteed by Citigroup Inc. (Unsecured) (Non-principal protected)"</f>
        <v>10-Month USD Fixed Coupon Autocall Note linked to Single Underlying in the basket issued by Citigroup Global Markets Holdings Inc. and guaranteed by Citigroup Inc. (Unsecured) (Non-principal protected)</v>
      </c>
    </row>
    <row r="101" spans="6:12">
      <c r="F101" t="s">
        <v>53</v>
      </c>
      <c r="G101" t="s">
        <v>54</v>
      </c>
      <c r="H101" t="s">
        <v>1580</v>
      </c>
      <c r="K101" t="str">
        <f>IF(Term!$P$2=Term!$E$2,      "CGMHI "&amp;C2&amp;C3&amp;"計價連結",
    IF(OR(Term!$L$2="Daily",Term!$L$2="Period End"),       "CGMHI "&amp;C2&amp;C3&amp;"計價（自動提前出場）連結",
       "CGMHI "&amp;C2&amp;C3&amp;"計價（記憶式自動提前出場）連結"    )  )
&amp; IF(ISBLANK(Term!$G$2),       "單一連結標的並由花旗集團保證之固定配息結構型商品 （無擔保） （不保本）",       "一籃子連結標的中表現最差並由花旗集團保證之固定配息結構型商品 （無擔保） （不保本）"    )</f>
        <v>CGMHI 10年期美元計價（記憶式自動提前出場）連結單一連結標的並由花旗集團保證之固定配息結構型商品 （無擔保） （不保本）</v>
      </c>
      <c r="L101" t="str">
        <f>Term!$P$2&amp;"-Month "&amp;Term!D2&amp;" Fixed Coupon"&amp;IF(Term!$P$2=Term!$E$2," "," Autocall ")&amp;"Note linked to "&amp;IF(ISBLANK(Term!$G$2),"Single","the Worst Performing")&amp;" Underlying in the basket issued by Citigroup Global Markets Holdings Inc. and guaranteed by Citigroup Inc. (Unsecured) (Non-principal protected)"</f>
        <v>10-Month USD Fixed Coupon Autocall Note linked to Single Underlying in the basket issued by Citigroup Global Markets Holdings Inc. and guaranteed by Citigroup Inc. (Unsecured) (Non-principal protected)</v>
      </c>
    </row>
    <row r="102" spans="6:12">
      <c r="F102" t="s">
        <v>53</v>
      </c>
      <c r="G102" t="s">
        <v>54</v>
      </c>
      <c r="H102" t="s">
        <v>291</v>
      </c>
      <c r="I102" t="s">
        <v>288</v>
      </c>
      <c r="J102" t="s">
        <v>288</v>
      </c>
      <c r="K102" t="s">
        <v>288</v>
      </c>
      <c r="L102" t="s">
        <v>288</v>
      </c>
    </row>
    <row r="103" spans="6:12">
      <c r="F103" t="s">
        <v>53</v>
      </c>
      <c r="G103" t="s">
        <v>54</v>
      </c>
      <c r="H103" t="s">
        <v>299</v>
      </c>
      <c r="K103" t="s">
        <v>288</v>
      </c>
      <c r="L103" t="s">
        <v>288</v>
      </c>
    </row>
    <row r="104" spans="6:12">
      <c r="F104" t="s">
        <v>53</v>
      </c>
      <c r="G104" t="s">
        <v>54</v>
      </c>
      <c r="H104" t="s">
        <v>300</v>
      </c>
      <c r="K104" t="s">
        <v>288</v>
      </c>
      <c r="L104" t="s">
        <v>288</v>
      </c>
    </row>
    <row r="105" spans="6:12">
      <c r="F105" t="s">
        <v>53</v>
      </c>
      <c r="G105" t="s">
        <v>54</v>
      </c>
      <c r="H105" t="s">
        <v>293</v>
      </c>
      <c r="K105" t="s">
        <v>288</v>
      </c>
      <c r="L105" t="s">
        <v>288</v>
      </c>
    </row>
    <row r="106" spans="6:12">
      <c r="F106" t="s">
        <v>53</v>
      </c>
      <c r="G106" t="s">
        <v>54</v>
      </c>
      <c r="H106" t="s">
        <v>1552</v>
      </c>
      <c r="K106" t="str">
        <f>IF(Term!$P$2=Term!$E$2,      "CGMHI "&amp;C2&amp;C3&amp;"計價連結",
    IF(OR(Term!$L$2="Daily",Term!$L$2="Period End"),       "CGMHI "&amp;C2&amp;C3&amp;"計價（自動提前出場）連結",
       "CGMHI "&amp;C2&amp;C3&amp;"計價（記憶式自動提前出場）連結"    )  )
&amp; IF(ISBLANK(Term!$G$2),       "單一連結標的並由花旗集團保證之固定配息結構型商品 （無擔保） （不保本）",       "一籃子連結標的中表現最差並由花旗集團保證之固定配息結構型商品 （無擔保） （不保本）"    )</f>
        <v>CGMHI 10年期美元計價（記憶式自動提前出場）連結單一連結標的並由花旗集團保證之固定配息結構型商品 （無擔保） （不保本）</v>
      </c>
      <c r="L106" t="str">
        <f>Term!$P$2&amp;"-Month "&amp;Term!D2&amp;" Snowball Coupon"&amp;IF(Term!$P$2=Term!$E$2," "," Autocall ")&amp;"Note linked to "&amp;IF(ISBLANK(Term!$G$2),"Single","the Worst Performing")&amp;" Underlying in the basket issued by Citigroup Global Markets Holdings Inc. and guaranteed by Citigroup Inc. (Unsecured) (Non-principal protected)"</f>
        <v>10-Month USD Snowball Coupon Autocall Note linked to Single Underlying in the basket issued by Citigroup Global Markets Holdings Inc. and guaranteed by Citigroup Inc. (Unsecured) (Non-principal protected)</v>
      </c>
    </row>
    <row r="107" spans="6:12">
      <c r="F107" t="s">
        <v>53</v>
      </c>
      <c r="G107" t="s">
        <v>54</v>
      </c>
      <c r="H107" t="s">
        <v>1578</v>
      </c>
      <c r="K107" t="str">
        <f>IF(Term!$P$2=Term!$E$2,      "CGMHI "&amp;C2&amp;C3&amp;"計價連結",
    IF(OR(Term!$L$2="Daily",Term!$L$2="Period End"),       "CGMHI "&amp;C2&amp;C3&amp;"計價（自動提前出場）連結",
       "CGMHI "&amp;C2&amp;C3&amp;"計價（記憶式自動提前出場）連結"    )  )
&amp; IF(ISBLANK(Term!$G$2),       "單一連結標的並由花旗集團保證之固定配息結構型商品 （無擔保） （不保本）",       "一籃子連結標的中表現最差並由花旗集團保證之固定配息結構型商品 （無擔保） （不保本）"    )</f>
        <v>CGMHI 10年期美元計價（記憶式自動提前出場）連結單一連結標的並由花旗集團保證之固定配息結構型商品 （無擔保） （不保本）</v>
      </c>
      <c r="L107" t="str">
        <f>Term!$P$2&amp;"-Month "&amp;Term!D2&amp;" Snowball Coupon"&amp;IF(Term!$P$2=Term!$E$2," "," Autocall ")&amp;"Note linked to "&amp;IF(ISBLANK(Term!$G$2),"Single","the Worst Performing")&amp;" Underlying in the basket issued by Citigroup Global Markets Holdings Inc. and guaranteed by Citigroup Inc. (Unsecured) (Non-principal protected)"</f>
        <v>10-Month USD Snowball Coupon Autocall Note linked to Single Underlying in the basket issued by Citigroup Global Markets Holdings Inc. and guaranteed by Citigroup Inc. (Unsecured) (Non-principal protected)</v>
      </c>
    </row>
    <row r="108" spans="6:12">
      <c r="F108" t="s">
        <v>55</v>
      </c>
      <c r="G108" t="s">
        <v>56</v>
      </c>
      <c r="H108" t="s">
        <v>286</v>
      </c>
      <c r="I108" t="s">
        <v>288</v>
      </c>
      <c r="J108" t="s">
        <v>288</v>
      </c>
      <c r="K108" t="s">
        <v>288</v>
      </c>
      <c r="L108" t="s">
        <v>288</v>
      </c>
    </row>
    <row r="109" spans="6:12">
      <c r="F109" t="s">
        <v>55</v>
      </c>
      <c r="G109" t="s">
        <v>56</v>
      </c>
      <c r="H109" t="s">
        <v>287</v>
      </c>
      <c r="I109" t="s">
        <v>288</v>
      </c>
      <c r="K109" t="s">
        <v>288</v>
      </c>
      <c r="L109" t="s">
        <v>288</v>
      </c>
    </row>
    <row r="110" spans="6:12">
      <c r="F110" t="s">
        <v>55</v>
      </c>
      <c r="G110" t="s">
        <v>56</v>
      </c>
      <c r="H110" t="s">
        <v>83</v>
      </c>
      <c r="I110" t="s">
        <v>288</v>
      </c>
      <c r="K110" t="s">
        <v>288</v>
      </c>
      <c r="L110" t="s">
        <v>288</v>
      </c>
    </row>
    <row r="111" spans="6:12">
      <c r="F111" t="s">
        <v>55</v>
      </c>
      <c r="G111" t="s">
        <v>56</v>
      </c>
      <c r="H111" t="s">
        <v>289</v>
      </c>
      <c r="K111" t="s">
        <v>288</v>
      </c>
      <c r="L111" t="s">
        <v>288</v>
      </c>
    </row>
    <row r="112" spans="6:12">
      <c r="F112" t="s">
        <v>55</v>
      </c>
      <c r="G112" t="s">
        <v>56</v>
      </c>
      <c r="H112" t="s">
        <v>89</v>
      </c>
      <c r="I112" t="s">
        <v>288</v>
      </c>
      <c r="J112" t="s">
        <v>288</v>
      </c>
      <c r="K112" t="s">
        <v>288</v>
      </c>
      <c r="L112" t="s">
        <v>288</v>
      </c>
    </row>
    <row r="113" spans="6:12">
      <c r="F113" t="s">
        <v>55</v>
      </c>
      <c r="G113" t="s">
        <v>56</v>
      </c>
      <c r="H113" t="s">
        <v>290</v>
      </c>
      <c r="I113" t="s">
        <v>288</v>
      </c>
      <c r="K113" t="s">
        <v>288</v>
      </c>
      <c r="L113" t="s">
        <v>288</v>
      </c>
    </row>
    <row r="114" spans="6:12">
      <c r="F114" t="s">
        <v>55</v>
      </c>
      <c r="G114" t="s">
        <v>56</v>
      </c>
      <c r="H114" t="s">
        <v>93</v>
      </c>
      <c r="I114" t="s">
        <v>288</v>
      </c>
      <c r="K114" t="str">
        <f>"英商摩根士丹利發行"&amp;C2&amp;"期"&amp;C3&amp;"計價連結"&amp;
IF(ISBLANK(Term!$G$2), "股票或", "一籃子股票與/或")&amp;"指數股票型基金固定配息"&amp;IF(Term!$P$2=Term!$E$2,"",IF(OR(Term!$L$2="Daily",Term!$L$2="Period End"),"（自動提前出場）","（記憶式自動提前出場）")) &amp;
"結構型商品（無保證機構）（無擔保）（不保本）"</f>
        <v>英商摩根士丹利發行10年期期美元計價連結股票或指數股票型基金固定配息（記憶式自動提前出場）結構型商品（無保證機構）（無擔保）（不保本）</v>
      </c>
      <c r="L114" t="str">
        <f>"Morgan Stanley &amp; Co. International Plc issuance of "&amp;Term!$P$2&amp;" Months "&amp;Term!D2&amp;" Fixed Coupon Notes linked to "&amp;IF(ISBLANK(Term!$G$2),"","Worst of ")&amp;"Shares and/or ETFs (non-guaranteed)(unsecured)(non-principal protected)"</f>
        <v>Morgan Stanley &amp; Co. International Plc issuance of 10 Months USD Fixed Coupon Notes linked to Shares and/or ETFs (non-guaranteed)(unsecured)(non-principal protected)</v>
      </c>
    </row>
    <row r="115" spans="6:12">
      <c r="F115" t="s">
        <v>55</v>
      </c>
      <c r="G115" t="s">
        <v>56</v>
      </c>
      <c r="H115" t="s">
        <v>1580</v>
      </c>
      <c r="K115" t="str">
        <f>"英商摩根士丹利發行"&amp;C2&amp;"期"&amp;C3&amp;"計價連結"&amp;
IF(ISBLANK(Term!$G$2), "股票或", "一籃子股票與/或")&amp;"指數股票型基金固定配息"&amp;IF(Term!$P$2=Term!$E$2,"",IF(OR(Term!$L$2="Daily",Term!$L$2="Period End"),"（自動提前出場）","（記憶式自動提前出場）")) &amp;
"結構型商品（無保證機構）（無擔保）（不保本）"</f>
        <v>英商摩根士丹利發行10年期期美元計價連結股票或指數股票型基金固定配息（記憶式自動提前出場）結構型商品（無保證機構）（無擔保）（不保本）</v>
      </c>
      <c r="L115" t="str">
        <f>"Morgan Stanley &amp; Co. International Plc issuance of "&amp;Term!$P$2&amp;" Months "&amp;Term!D2&amp;" Fixed Coupon Notes linked to "&amp;IF(ISBLANK(Term!$G$2),"","Worst of ")&amp;"Shares and/or ETFs (non-guaranteed)(unsecured)(non-principal protected)"</f>
        <v>Morgan Stanley &amp; Co. International Plc issuance of 10 Months USD Fixed Coupon Notes linked to Shares and/or ETFs (non-guaranteed)(unsecured)(non-principal protected)</v>
      </c>
    </row>
    <row r="116" spans="6:12">
      <c r="F116" t="s">
        <v>55</v>
      </c>
      <c r="G116" t="s">
        <v>56</v>
      </c>
      <c r="H116" t="s">
        <v>291</v>
      </c>
      <c r="I116" t="s">
        <v>288</v>
      </c>
      <c r="K116" t="str">
        <f>"英商摩根士丹利發行 "&amp;C2&amp;"期"&amp;C3&amp;"計價連結"&amp;
IF(ISBLANK(Term!$G$2), "股票或", "一籃子股票與/或")&amp;"指數股票型基金區間累積配息"&amp;IF(Term!$P$2=Term!$E$2,"",IF(OR(Term!$L$2="Daily",Term!$L$2="Period End"),"（自動提前出場）","（記憶式自動提前出場）")) &amp;
"結構型商品（無保證機構）（無擔保）（不保本）"</f>
        <v>英商摩根士丹利發行 10年期期美元計價連結股票或指數股票型基金區間累積配息（記憶式自動提前出場）結構型商品（無保證機構）（無擔保）（不保本）</v>
      </c>
      <c r="L116" t="str">
        <f>"Morgan Stanley &amp; Co. International Plc issuance of "&amp;Term!$P$2&amp;" Months "&amp;Term!D2&amp;" Autocallable Range Accrual Notes linked to "&amp;IF(ISBLANK(Term!$G$2),"","Worst of ")&amp;"Shares and/or ETFs (non-guaranteed)(unsecured)(non-principal protected)"</f>
        <v>Morgan Stanley &amp; Co. International Plc issuance of 10 Months USD Autocallable Range Accrual Notes linked to Shares and/or ETFs (non-guaranteed)(unsecured)(non-principal protected)</v>
      </c>
    </row>
    <row r="117" spans="6:12">
      <c r="F117" t="s">
        <v>55</v>
      </c>
      <c r="G117" t="s">
        <v>56</v>
      </c>
      <c r="H117" t="s">
        <v>299</v>
      </c>
      <c r="K117" t="str">
        <f>"英商摩根士丹利發行 "&amp;C2&amp;"期"&amp;C3&amp;"計價連結"&amp;
IF(ISBLANK(Term!$G$2), "股票或指數股票型基金", "一籃子股票與/或指數股票型基金紅利表現")&amp;"結構型商品（無保證機構）（無擔保）（不保本）"</f>
        <v>英商摩根士丹利發行 10年期期美元計價連結股票或指數股票型基金結構型商品（無保證機構）（無擔保）（不保本）</v>
      </c>
      <c r="L117" t="str">
        <f>"Morgan Stanley &amp; Co. International Plc issuance of "&amp;Term!$P$2&amp;" Months "&amp;Term!D2&amp;" Bonus Enhanced Notes linked to Worst of Shares and/or ETFs (non-guaranteed)(unsecured)(non-principal protected)"</f>
        <v>Morgan Stanley &amp; Co. International Plc issuance of 10 Months USD Bonus Enhanced Notes linked to Worst of Shares and/or ETFs (non-guaranteed)(unsecured)(non-principal protected)</v>
      </c>
    </row>
    <row r="118" spans="6:12">
      <c r="F118" t="s">
        <v>55</v>
      </c>
      <c r="G118" t="s">
        <v>56</v>
      </c>
      <c r="H118" t="s">
        <v>300</v>
      </c>
      <c r="K118" t="str">
        <f>"英商摩根士丹利發行 "&amp;C2&amp;"期"&amp;C3&amp;"計價連結"&amp;
IF(ISBLANK(Term!$G$2), "股票或指數股票型基金", "一籃子股票與/或指數股票型基金紅利表現")&amp;"結構型商品（無保證機構）（無擔保）（不保本）"</f>
        <v>英商摩根士丹利發行 10年期期美元計價連結股票或指數股票型基金結構型商品（無保證機構）（無擔保）（不保本）</v>
      </c>
      <c r="L118" t="str">
        <f>"Morgan Stanley &amp; Co. International Plc issuance of "&amp;Term!$P$2&amp;" Months "&amp;Term!D2&amp;IF(ISBLANK(Term!$G$2)," Equity Linked Notes linked to Shares or ETFs"," Equity linked to Worst of Shares and/or ETFs")&amp;" (non-guaranteed)(unsecured)(non-principal protected)"</f>
        <v>Morgan Stanley &amp; Co. International Plc issuance of 10 Months USD Equity Linked Notes linked to Shares or ETFs (non-guaranteed)(unsecured)(non-principal protected)</v>
      </c>
    </row>
    <row r="119" spans="6:12">
      <c r="F119" t="s">
        <v>55</v>
      </c>
      <c r="G119" t="s">
        <v>56</v>
      </c>
      <c r="H119" t="s">
        <v>293</v>
      </c>
      <c r="K119" t="s">
        <v>288</v>
      </c>
      <c r="L119" t="s">
        <v>288</v>
      </c>
    </row>
    <row r="120" spans="6:12">
      <c r="F120" t="s">
        <v>55</v>
      </c>
      <c r="G120" t="s">
        <v>56</v>
      </c>
      <c r="H120" t="s">
        <v>1552</v>
      </c>
      <c r="K120" t="s">
        <v>301</v>
      </c>
      <c r="L120" t="s">
        <v>301</v>
      </c>
    </row>
    <row r="121" spans="6:12">
      <c r="F121" t="s">
        <v>55</v>
      </c>
      <c r="G121" t="s">
        <v>56</v>
      </c>
      <c r="H121" t="s">
        <v>1578</v>
      </c>
      <c r="K121" t="str">
        <f>"英商摩根士丹利發行"&amp;C2&amp;"期"&amp;C3&amp;"計價連結"&amp;
IF(ISBLANK(Term!$G$2), "股票或", "一籃子股票與/或")&amp;"指數股票型基金雪球"&amp;IF(Term!$P$2=Term!$E$2,"",IF(OR(Term!$L$2="Daily",Term!$L$2="Period End"),"（逐步調降自動提前出場）","（逐步調降記憶式自動提前出場）")) &amp;
"結構型商品（無保證機構）（無擔保）（不保本）"</f>
        <v>英商摩根士丹利發行10年期期美元計價連結股票或指數股票型基金雪球（逐步調降記憶式自動提前出場）結構型商品（無保證機構）（無擔保）（不保本）</v>
      </c>
      <c r="L121" t="str">
        <f>"Morgan Stanley &amp; Co. International Plc issuance of "&amp;Term!$P$2&amp;" Months "&amp;Term!D2&amp;" Snowball Stepdown Notes linked to "&amp;IF(ISBLANK(Term!$G$2),"","Worst of ")&amp;"Shares and/or ETFs (non-guaranteed)(unsecured)(non-principal protected)"</f>
        <v>Morgan Stanley &amp; Co. International Plc issuance of 10 Months USD Snowball Stepdown Notes linked to Shares and/or ETFs (non-guaranteed)(unsecured)(non-principal protected)</v>
      </c>
    </row>
    <row r="122" spans="6:12">
      <c r="F122" t="s">
        <v>57</v>
      </c>
      <c r="G122" t="s">
        <v>58</v>
      </c>
      <c r="H122" t="s">
        <v>286</v>
      </c>
      <c r="I122" t="s">
        <v>288</v>
      </c>
      <c r="J122" t="s">
        <v>288</v>
      </c>
      <c r="K122" t="s">
        <v>288</v>
      </c>
      <c r="L122" t="s">
        <v>288</v>
      </c>
    </row>
    <row r="123" spans="6:12">
      <c r="F123" t="s">
        <v>57</v>
      </c>
      <c r="G123" t="s">
        <v>58</v>
      </c>
      <c r="H123" t="s">
        <v>287</v>
      </c>
      <c r="I123" t="s">
        <v>288</v>
      </c>
      <c r="K123" t="s">
        <v>288</v>
      </c>
      <c r="L123" t="s">
        <v>288</v>
      </c>
    </row>
    <row r="124" spans="6:12">
      <c r="F124" t="s">
        <v>57</v>
      </c>
      <c r="G124" t="s">
        <v>58</v>
      </c>
      <c r="H124" t="s">
        <v>83</v>
      </c>
      <c r="I124" t="s">
        <v>288</v>
      </c>
      <c r="K124" t="s">
        <v>288</v>
      </c>
      <c r="L124" t="s">
        <v>288</v>
      </c>
    </row>
    <row r="125" spans="6:12">
      <c r="F125" t="s">
        <v>57</v>
      </c>
      <c r="G125" t="s">
        <v>58</v>
      </c>
      <c r="H125" t="s">
        <v>289</v>
      </c>
      <c r="K125" t="s">
        <v>288</v>
      </c>
      <c r="L125" t="s">
        <v>288</v>
      </c>
    </row>
    <row r="126" spans="6:12">
      <c r="F126" t="s">
        <v>57</v>
      </c>
      <c r="G126" t="s">
        <v>58</v>
      </c>
      <c r="H126" t="s">
        <v>89</v>
      </c>
      <c r="I126" t="s">
        <v>288</v>
      </c>
      <c r="J126" t="s">
        <v>288</v>
      </c>
      <c r="K126" t="s">
        <v>288</v>
      </c>
      <c r="L126" t="s">
        <v>288</v>
      </c>
    </row>
    <row r="127" spans="6:12">
      <c r="F127" t="s">
        <v>57</v>
      </c>
      <c r="G127" t="s">
        <v>58</v>
      </c>
      <c r="H127" t="s">
        <v>290</v>
      </c>
      <c r="I127" t="str">
        <f>IF(COUNTIF(Underlying!$C:$C,Term!$F$2)&gt;0,"股權",IF(COUNTIF(Underlying!$G:$G,Term!$F$2)&gt;0,"利率","匯率"))</f>
        <v>匯率</v>
      </c>
      <c r="J127" t="str">
        <f>IF(COUNTIF(Underlying!$C:$C,Term!$F$2)&gt;0,"Equity",IF(COUNTIF(Underlying!$G:$G,Term!$F$2)&gt;0, "Interest Rate","Exchange Rate"))</f>
        <v>Exchange Rate</v>
      </c>
      <c r="K127" t="str">
        <f>IF($I$14="利率","法國外貿銀行"&amp;$C$2&amp;$C$3&amp;"計價（發行機構可買回） 連結"&amp;$I$127&amp;"每日計息結構型商品 （無擔保及無保證機構）","-")</f>
        <v>-</v>
      </c>
      <c r="L127" t="str">
        <f>"Natixis "&amp;Term!$D$2&amp;" "&amp;Term!$P$2&amp;Term!$Q$2&amp;" Callable "&amp;產品名稱!J127&amp;" Accrual Note (unsecured and non-guaranteed)"</f>
        <v>Natixis USD 10Y Callable Exchange Rate Accrual Note (unsecured and non-guaranteed)</v>
      </c>
    </row>
    <row r="128" spans="6:12">
      <c r="F128" t="s">
        <v>57</v>
      </c>
      <c r="G128" t="s">
        <v>58</v>
      </c>
      <c r="H128" t="s">
        <v>93</v>
      </c>
      <c r="I128" t="s">
        <v>288</v>
      </c>
      <c r="K128" t="str">
        <f>"法國外貿銀行"&amp;C2&amp;C3&amp;"計價固定配息（自動提前到期）連結一籃子標的結構型商品（不保本、無擔保及無保證機構）"</f>
        <v>法國外貿銀行10年期美元計價固定配息（自動提前到期）連結一籃子標的結構型商品（不保本、無擔保及無保證機構）</v>
      </c>
      <c r="L128" t="str">
        <f>"Natixis – "&amp;Term!$P$2&amp;"-Month "&amp;Term!D2&amp;" – Autocallable Fixed Coupon Note Linked to Basket of Equities (Non-Principal Protected, Unsecured and Non-Guaranteed)"</f>
        <v>Natixis – 10-Month USD – Autocallable Fixed Coupon Note Linked to Basket of Equities (Non-Principal Protected, Unsecured and Non-Guaranteed)</v>
      </c>
    </row>
    <row r="129" spans="6:12">
      <c r="F129" t="s">
        <v>57</v>
      </c>
      <c r="G129" t="s">
        <v>58</v>
      </c>
      <c r="H129" t="s">
        <v>1580</v>
      </c>
      <c r="K129" t="str">
        <f>"法國外貿銀行"&amp;C2&amp;C3&amp;"計價固定配息（自動提前到期）連結一籃子標的結構型商品（不保本、無擔保及無保證機構）"</f>
        <v>法國外貿銀行10年期美元計價固定配息（自動提前到期）連結一籃子標的結構型商品（不保本、無擔保及無保證機構）</v>
      </c>
      <c r="L129" t="str">
        <f>"Natixis – "&amp;Term!$P$2&amp;"-Month "&amp;Term!D2&amp;" – Autocallable Fixed Coupon Note Linked to Basket of Equities (Non-Principal Protected, Unsecured and Non-Guaranteed)"</f>
        <v>Natixis – 10-Month USD – Autocallable Fixed Coupon Note Linked to Basket of Equities (Non-Principal Protected, Unsecured and Non-Guaranteed)</v>
      </c>
    </row>
    <row r="130" spans="6:12">
      <c r="F130" t="s">
        <v>57</v>
      </c>
      <c r="G130" t="s">
        <v>58</v>
      </c>
      <c r="H130" t="s">
        <v>291</v>
      </c>
      <c r="I130" t="s">
        <v>288</v>
      </c>
      <c r="K130" t="str">
        <f>"法國外貿銀行"&amp;C2&amp;C3&amp;"計價區間計息（自動提前到期）連結一籃子標的結構型商品（不保本、無擔保及無保證機構）"</f>
        <v>法國外貿銀行10年期美元計價區間計息（自動提前到期）連結一籃子標的結構型商品（不保本、無擔保及無保證機構）</v>
      </c>
      <c r="L130" t="str">
        <f>"Natixis – "&amp;Term!$P$2&amp;"-Month "&amp;Term!D2&amp;" – Autocallable Daily Range Accrual Note Linked to Basket of Equities (Non-Principal Protected, Unsecured and Non-Guaranteed)"</f>
        <v>Natixis – 10-Month USD – Autocallable Daily Range Accrual Note Linked to Basket of Equities (Non-Principal Protected, Unsecured and Non-Guaranteed)</v>
      </c>
    </row>
    <row r="131" spans="6:12">
      <c r="F131" t="s">
        <v>57</v>
      </c>
      <c r="G131" t="s">
        <v>58</v>
      </c>
      <c r="H131" t="s">
        <v>299</v>
      </c>
      <c r="K131" t="str">
        <f>"法國外貿銀行"&amp;$C$2&amp;$C$3&amp;"紅利配息"&amp;IF(Term!$E$2&lt;Term!$P$2,"（自動提前到期）","")&amp;"連結一籃子標的結構型商品（不保本、無擔保及無保證機構）"</f>
        <v>法國外貿銀行10年期美元紅利配息連結一籃子標的結構型商品（不保本、無擔保及無保證機構）</v>
      </c>
      <c r="L131" t="str">
        <f>"Natixis – "&amp;Term!$P$2&amp;"-Month "&amp;Term!D2&amp;" – "&amp;IF(Term!$E$2&lt;Term!$P$2,"Autocallable ","")&amp;"Bonus Enhanced Coupon Note Linked to Basket of Equities (Non-Principal Protected, Unsecured and Non-Guaranteed)"</f>
        <v>Natixis – 10-Month USD – Bonus Enhanced Coupon Note Linked to Basket of Equities (Non-Principal Protected, Unsecured and Non-Guaranteed)</v>
      </c>
    </row>
    <row r="132" spans="6:12">
      <c r="F132" t="s">
        <v>57</v>
      </c>
      <c r="G132" t="s">
        <v>58</v>
      </c>
      <c r="H132" t="s">
        <v>300</v>
      </c>
      <c r="K132" t="str">
        <f>"法國外貿銀行"&amp;$C$2&amp;$C$3&amp;"紅利配息"&amp;IF(Term!$E$2&lt;Term!$P$2,"（自動提前到期）","")&amp;"連結一籃子標的結構型商品（不保本、無擔保及無保證機構）"</f>
        <v>法國外貿銀行10年期美元紅利配息連結一籃子標的結構型商品（不保本、無擔保及無保證機構）</v>
      </c>
      <c r="L132" t="str">
        <f>"Natixis – "&amp;Term!$P$2&amp;"-Month "&amp;Term!D2&amp;" – "&amp;IF(Term!$E$2&lt;Term!$P$2,"Autocallable ","")&amp;"Bonus Enhanced Coupon Note Linked to Basket of Equities (Non-Principal Protected, Unsecured and Non-Guaranteed)"</f>
        <v>Natixis – 10-Month USD – Bonus Enhanced Coupon Note Linked to Basket of Equities (Non-Principal Protected, Unsecured and Non-Guaranteed)</v>
      </c>
    </row>
    <row r="133" spans="6:12">
      <c r="F133" t="s">
        <v>57</v>
      </c>
      <c r="G133" t="s">
        <v>58</v>
      </c>
      <c r="H133" t="s">
        <v>293</v>
      </c>
      <c r="K133" t="s">
        <v>288</v>
      </c>
      <c r="L133" t="s">
        <v>288</v>
      </c>
    </row>
    <row r="134" spans="6:12">
      <c r="F134" t="s">
        <v>59</v>
      </c>
      <c r="G134" t="s">
        <v>60</v>
      </c>
      <c r="H134" t="s">
        <v>286</v>
      </c>
      <c r="I134" t="s">
        <v>288</v>
      </c>
      <c r="J134" t="s">
        <v>288</v>
      </c>
      <c r="K134" t="s">
        <v>288</v>
      </c>
      <c r="L134" t="s">
        <v>288</v>
      </c>
    </row>
    <row r="135" spans="6:12">
      <c r="F135" t="s">
        <v>59</v>
      </c>
      <c r="G135" t="s">
        <v>60</v>
      </c>
      <c r="H135" t="s">
        <v>287</v>
      </c>
      <c r="I135" t="s">
        <v>288</v>
      </c>
      <c r="K135" t="s">
        <v>288</v>
      </c>
      <c r="L135" t="s">
        <v>288</v>
      </c>
    </row>
    <row r="136" spans="6:12">
      <c r="F136" t="s">
        <v>59</v>
      </c>
      <c r="G136" t="s">
        <v>60</v>
      </c>
      <c r="H136" t="s">
        <v>83</v>
      </c>
      <c r="I136" t="s">
        <v>288</v>
      </c>
      <c r="K136" t="s">
        <v>288</v>
      </c>
      <c r="L136" t="s">
        <v>288</v>
      </c>
    </row>
    <row r="137" spans="6:12">
      <c r="F137" t="s">
        <v>59</v>
      </c>
      <c r="G137" t="s">
        <v>60</v>
      </c>
      <c r="H137" t="s">
        <v>289</v>
      </c>
      <c r="K137" t="s">
        <v>288</v>
      </c>
      <c r="L137" t="s">
        <v>288</v>
      </c>
    </row>
    <row r="138" spans="6:12">
      <c r="F138" t="s">
        <v>59</v>
      </c>
      <c r="G138" t="s">
        <v>60</v>
      </c>
      <c r="H138" t="s">
        <v>89</v>
      </c>
      <c r="I138" t="s">
        <v>288</v>
      </c>
      <c r="J138" t="s">
        <v>288</v>
      </c>
      <c r="K138" t="s">
        <v>288</v>
      </c>
      <c r="L138" t="s">
        <v>288</v>
      </c>
    </row>
    <row r="139" spans="6:12">
      <c r="F139" t="s">
        <v>59</v>
      </c>
      <c r="G139" t="s">
        <v>60</v>
      </c>
      <c r="H139" t="s">
        <v>290</v>
      </c>
      <c r="I139" t="s">
        <v>288</v>
      </c>
      <c r="K139" t="str">
        <f>IF(UPPER(Term!$M$2)="TR",
"摩根大通"&amp;Term!$P$2&amp;"年"&amp;產品名稱!$C$3&amp;"計價可自動提前出場連結利率每日計息目標贖回結構型商品(無擔保)",
IF(Term!$M$2&gt;0,
"摩根大通"&amp;Term!$P$2&amp;"年"&amp;產品名稱!$C$3&amp;"計價可自動提前出場連結利率每日計息結構型商品(無擔保)",
"摩根大通"&amp;Term!$P$2&amp;"年"&amp;產品名稱!$C$3&amp;"計價可買回連結利率每日計息結構型商品(無擔保)"))</f>
        <v>摩根大通10年美元計價可買回連結利率每日計息結構型商品(無擔保)</v>
      </c>
      <c r="L139" t="str">
        <f>IF(UPPER(Term!$M$2)="TR",
"JPMorgan "&amp;Term!P2&amp;"Years "&amp;Term!$D$2&amp;" Autocallable Range Accrual Target Redemption Note (Unsecured)",
IF(Term!$M$2&gt;0,
"JPMorgan "&amp;Term!P2&amp;"Years "&amp;Term!$D$2&amp;" Autocallable Range Accrual Note (Unsecured)",
"JPMorgan "&amp;Term!P2&amp;"Years "&amp;Term!$D$2&amp;" Callable Range Accrual Note (Unsecured)"))</f>
        <v>JPMorgan 10Years USD Callable Range Accrual Note (Unsecured)</v>
      </c>
    </row>
    <row r="140" spans="6:12">
      <c r="F140" t="s">
        <v>59</v>
      </c>
      <c r="G140" t="s">
        <v>60</v>
      </c>
      <c r="H140" t="s">
        <v>93</v>
      </c>
      <c r="I140" t="s">
        <v>288</v>
      </c>
      <c r="K140" t="str">
        <f>"摩根大通"&amp;C2&amp;C3&amp;"計價連結股權固定配息可自動提前出場結構型商品（無擔保）（不保本）"</f>
        <v>摩根大通10年期美元計價連結股權固定配息可自動提前出場結構型商品（無擔保）（不保本）</v>
      </c>
      <c r="L140" t="str">
        <f>"JPMorgan "&amp;Term!$P$2&amp;"Months "&amp;Term!D2&amp;" Link to Equity Securities Callable Fixed Coupon Note (Unsecured)(Non-Principal Protected)"</f>
        <v>JPMorgan 10Months USD Link to Equity Securities Callable Fixed Coupon Note (Unsecured)(Non-Principal Protected)</v>
      </c>
    </row>
    <row r="141" spans="6:12">
      <c r="F141" t="s">
        <v>59</v>
      </c>
      <c r="G141" t="s">
        <v>60</v>
      </c>
      <c r="H141" t="s">
        <v>291</v>
      </c>
      <c r="I141" t="s">
        <v>288</v>
      </c>
      <c r="K141" t="str">
        <f>"摩根大通"&amp;C2&amp;C3&amp;"計價連結股權區間配息可自動提前出場結構型商品（無擔保）（不保本）"</f>
        <v>摩根大通10年期美元計價連結股權區間配息可自動提前出場結構型商品（無擔保）（不保本）</v>
      </c>
      <c r="L141" t="str">
        <f>"JPMorgan "&amp;Term!$P$2&amp;"Months "&amp;Term!D2&amp;" Link to Equity Securities Callable Range Accrual Coupon (Unsecured)(Non-Principal Protected)"</f>
        <v>JPMorgan 10Months USD Link to Equity Securities Callable Range Accrual Coupon (Unsecured)(Non-Principal Protected)</v>
      </c>
    </row>
    <row r="142" spans="6:12">
      <c r="F142" t="s">
        <v>59</v>
      </c>
      <c r="G142" t="s">
        <v>60</v>
      </c>
      <c r="H142" t="s">
        <v>299</v>
      </c>
      <c r="K142" t="str">
        <f>"摩根大通"&amp;C2&amp;C3&amp;"計價連結股權紅利增強結構型商品（無擔保）（不保本）"</f>
        <v>摩根大通10年期美元計價連結股權紅利增強結構型商品（無擔保）（不保本）</v>
      </c>
      <c r="L142" t="str">
        <f>"JPMorgan "&amp;Term!$P$2&amp;"Months "&amp;Term!$D$2&amp;" Link to Equity Securities Bonus Enhanced Note (Unsecured)(Non-Principal Protected)"</f>
        <v>JPMorgan 10Months USD Link to Equity Securities Bonus Enhanced Note (Unsecured)(Non-Principal Protected)</v>
      </c>
    </row>
    <row r="143" spans="6:12">
      <c r="F143" t="s">
        <v>59</v>
      </c>
      <c r="G143" t="s">
        <v>60</v>
      </c>
      <c r="H143" t="s">
        <v>300</v>
      </c>
      <c r="K143" t="str">
        <f>"摩根大通"&amp;C2&amp;C3&amp;"計價連結股權紅利結構型商品（無擔保）（不保本）"</f>
        <v>摩根大通10年期美元計價連結股權紅利結構型商品（無擔保）（不保本）</v>
      </c>
      <c r="L143" t="str">
        <f>"JPMorgan "&amp;Term!$P$2&amp;"Months "&amp;Term!$D$2&amp;" Link to Equity Securities Digital Coupon Note (Unsecured)(Non-Principal Protected)"</f>
        <v>JPMorgan 10Months USD Link to Equity Securities Digital Coupon Note (Unsecured)(Non-Principal Protected)</v>
      </c>
    </row>
    <row r="144" spans="6:12">
      <c r="F144" t="s">
        <v>59</v>
      </c>
      <c r="G144" t="s">
        <v>60</v>
      </c>
      <c r="H144" t="s">
        <v>293</v>
      </c>
      <c r="K144" t="s">
        <v>288</v>
      </c>
      <c r="L144" t="s">
        <v>288</v>
      </c>
    </row>
    <row r="145" spans="6:12">
      <c r="F145" t="s">
        <v>61</v>
      </c>
      <c r="G145" t="s">
        <v>62</v>
      </c>
      <c r="H145" t="s">
        <v>286</v>
      </c>
      <c r="I145" t="s">
        <v>288</v>
      </c>
      <c r="J145" t="str">
        <f>IF(COUNTIF(Underlying!$G$3:$G$15, Term!$F$2) &gt; 0, "ICE Swap", "-")</f>
        <v>-</v>
      </c>
      <c r="K145" t="str">
        <f>C2&amp;"高盛金融國際有限公司"&amp;C3&amp;"計價發行機構可買回美元利差浮動計息結構型債券（無擔保）"</f>
        <v>10年期高盛金融國際有限公司美元計價發行機構可買回美元利差浮動計息結構型債券（無擔保）</v>
      </c>
      <c r="L145" t="str">
        <f>Term!$P$2&amp;"-Year "&amp;Term!D2&amp;" Issuing Institution Callable "&amp;產品名稱!J145&amp;" Spread Steepener Note by Goldman Sachs Finance Corp International Ltd (Unsecured)"</f>
        <v>10-Year USD Issuing Institution Callable - Spread Steepener Note by Goldman Sachs Finance Corp International Ltd (Unsecured)</v>
      </c>
    </row>
    <row r="146" spans="6:12">
      <c r="F146" t="s">
        <v>61</v>
      </c>
      <c r="G146" t="s">
        <v>62</v>
      </c>
      <c r="H146" t="s">
        <v>287</v>
      </c>
      <c r="I146" t="s">
        <v>288</v>
      </c>
      <c r="J146" t="s">
        <v>288</v>
      </c>
      <c r="K146" t="s">
        <v>288</v>
      </c>
      <c r="L146" t="s">
        <v>288</v>
      </c>
    </row>
    <row r="147" spans="6:12">
      <c r="F147" t="s">
        <v>61</v>
      </c>
      <c r="G147" t="s">
        <v>62</v>
      </c>
      <c r="H147" t="s">
        <v>83</v>
      </c>
      <c r="I147" t="s">
        <v>288</v>
      </c>
      <c r="J147" t="s">
        <v>288</v>
      </c>
      <c r="K147" t="s">
        <v>288</v>
      </c>
      <c r="L147" t="s">
        <v>288</v>
      </c>
    </row>
    <row r="148" spans="6:12">
      <c r="F148" t="s">
        <v>61</v>
      </c>
      <c r="G148" t="s">
        <v>62</v>
      </c>
      <c r="H148" t="s">
        <v>289</v>
      </c>
      <c r="I148" t="b">
        <f>IF(COUNTIF(Underlying!$G$3:$G$15, Term!$F$2) &gt; 0, "利率", IF(COUNTIF(Underlying!$Q$3:$Q$17, Term!$F$2) &gt; 0, "指數"))</f>
        <v>0</v>
      </c>
      <c r="J148" t="b">
        <f>IF(COUNTIF(Underlying!$G$3:$G$15, Term!$F$2) &gt; 0, "Interest Rate", IF(COUNTIF(Underlying!$Q$3:$Q$17, Term!$F$2) &gt; 0, "Index"))</f>
        <v>0</v>
      </c>
      <c r="K148" t="str">
        <f>C2&amp;"高盛金融國際有限公司"&amp;C3&amp;"計價發行機構可買回"&amp;I148&amp;"連結結構型債券（無擔保）"</f>
        <v>10年期高盛金融國際有限公司美元計價發行機構可買回FALSE連結結構型債券（無擔保）</v>
      </c>
      <c r="L148" t="str">
        <f>Term!$P$2&amp;"-Year "&amp;Term!D2&amp;" Issuing Institution Callable "&amp;產品名稱!J148&amp;" Linked Note by Goldman Sachs Finance Corp International Ltd (Unsecured)"</f>
        <v>10-Year USD Issuing Institution Callable FALSE Linked Note by Goldman Sachs Finance Corp International Ltd (Unsecured)</v>
      </c>
    </row>
    <row r="149" spans="6:12">
      <c r="F149" t="s">
        <v>61</v>
      </c>
      <c r="G149" t="s">
        <v>62</v>
      </c>
      <c r="H149" t="s">
        <v>89</v>
      </c>
      <c r="I149" t="str">
        <f>IF(COUNTIF(Underlying!$C:$C,Term!$F$2)&gt;0,"股權",IF(COUNTIF(Underlying!$G:$G,Term!$F$2)&gt;0,"利率","匯率"))</f>
        <v>匯率</v>
      </c>
      <c r="J149" t="s">
        <v>288</v>
      </c>
      <c r="K149" t="str">
        <f>C2&amp;"高盛金融國際有限公司"&amp;C3&amp;"計價發行機構可買回反向浮動式"&amp;I149&amp;"上下限結構型債券（無擔保）"</f>
        <v>10年期高盛金融國際有限公司美元計價發行機構可買回反向浮動式匯率上下限結構型債券（無擔保）</v>
      </c>
      <c r="L149" t="str">
        <f>Term!$P$2&amp;"-Year "&amp;Term!D2&amp;" Issuing Institution Callable Capped and Floored Reverse Floating Rate Note by Goldman Sachs Finance Corp International Ltd (Unsecured)"</f>
        <v>10-Year USD Issuing Institution Callable Capped and Floored Reverse Floating Rate Note by Goldman Sachs Finance Corp International Ltd (Unsecured)</v>
      </c>
    </row>
    <row r="150" spans="6:12">
      <c r="F150" t="s">
        <v>61</v>
      </c>
      <c r="G150" t="s">
        <v>62</v>
      </c>
      <c r="H150" t="s">
        <v>290</v>
      </c>
      <c r="I150" t="s">
        <v>288</v>
      </c>
      <c r="J150" t="s">
        <v>288</v>
      </c>
      <c r="K150" t="str">
        <f>$C$2&amp;"高盛金融國際有限公司"&amp;$C$3&amp;"計價發行機構"&amp;IF(ISBLANK(Term!$G$2),"可買回區間","可買回雙標的區間")&amp;"計息結構型債券（無擔保）"</f>
        <v>10年期高盛金融國際有限公司美元計價發行機構可買回區間計息結構型債券（無擔保）</v>
      </c>
      <c r="L150" t="str">
        <f>Term!$P$2&amp;"-Year "&amp;Term!$D$2&amp;" Issuing Institution "&amp;IF(ISBLANK(Term!$G$2), "Callable Range Accrual Note", "Callable Dual Range Accrual Note")&amp;" by Goldman Sachs Finance Corp International Ltd (Unsecured)"</f>
        <v>10-Year USD Issuing Institution Callable Range Accrual Note by Goldman Sachs Finance Corp International Ltd (Unsecured)</v>
      </c>
    </row>
    <row r="151" spans="6:12">
      <c r="F151" t="s">
        <v>61</v>
      </c>
      <c r="G151" t="s">
        <v>62</v>
      </c>
      <c r="H151" t="s">
        <v>93</v>
      </c>
      <c r="I151" t="s">
        <v>288</v>
      </c>
      <c r="J151" t="s">
        <v>288</v>
      </c>
      <c r="K151" t="str">
        <f>C2&amp;"英商高盛國際公司"&amp;C3&amp;"計價固定配息"&amp;IF(OR(Term!$P$2=Term!$E$2,Term!$L$2="Daily",Term!$L$2="Period End"),"自動提前出場","記憶式自動提前出場")&amp;"股權連結結構型商品（無擔保）（不保本）"</f>
        <v>10年期英商高盛國際公司美元計價固定配息記憶式自動提前出場股權連結結構型商品（無擔保）（不保本）</v>
      </c>
      <c r="L151" t="str">
        <f>Term!$P$2&amp;" Months "&amp;Term!D2&amp;IF(OR(Term!$L$2="Daily",Term!$L$2="Period End"),""," Memory")&amp;" Autocallable Fixed Coupon Equity Linked Notes by Goldman Sachs International (Unsecured) (Non-principal protected)"</f>
        <v>10 Months USD Memory Autocallable Fixed Coupon Equity Linked Notes by Goldman Sachs International (Unsecured) (Non-principal protected)</v>
      </c>
    </row>
    <row r="152" spans="6:12">
      <c r="F152" t="s">
        <v>61</v>
      </c>
      <c r="G152" t="s">
        <v>62</v>
      </c>
      <c r="H152" t="s">
        <v>291</v>
      </c>
      <c r="I152" t="s">
        <v>288</v>
      </c>
      <c r="J152" t="s">
        <v>288</v>
      </c>
      <c r="K152" t="str">
        <f>C2&amp;"英商高盛國際公司"&amp;C3&amp;"計價區間累計配息"&amp;IF(OR(Term!$P$2=Term!$E$2,Term!$L$2="Daily",Term!$L$2="Period End"),"自動提前出場","記憶式自動提前出場")&amp;"股權連結結構型商品（無擔保）（不保本）"</f>
        <v>10年期英商高盛國際公司美元計價區間累計配息記憶式自動提前出場股權連結結構型商品（無擔保）（不保本）</v>
      </c>
      <c r="L152" t="str">
        <f>Term!$P$2&amp;" Months "&amp;Term!D2&amp;IF(OR(Term!$L$2="Daily",Term!$L$2="Period End")," "," Memory ")&amp;"Autocallable Range Accrual Equity Linked Notes by Goldman Sachs International (Unsecured) (Non-principal protected)"</f>
        <v>10 Months USD Memory Autocallable Range Accrual Equity Linked Notes by Goldman Sachs International (Unsecured) (Non-principal protected)</v>
      </c>
    </row>
    <row r="153" spans="6:12">
      <c r="F153" t="s">
        <v>61</v>
      </c>
      <c r="G153" t="s">
        <v>62</v>
      </c>
      <c r="H153" t="s">
        <v>299</v>
      </c>
      <c r="K153" t="s">
        <v>288</v>
      </c>
      <c r="L153" t="s">
        <v>288</v>
      </c>
    </row>
    <row r="154" spans="6:12">
      <c r="F154" t="s">
        <v>61</v>
      </c>
      <c r="G154" t="s">
        <v>62</v>
      </c>
      <c r="H154" t="s">
        <v>300</v>
      </c>
      <c r="K154" t="s">
        <v>288</v>
      </c>
      <c r="L154" t="s">
        <v>288</v>
      </c>
    </row>
    <row r="155" spans="6:12">
      <c r="F155" t="s">
        <v>61</v>
      </c>
      <c r="G155" t="s">
        <v>62</v>
      </c>
      <c r="H155" t="s">
        <v>293</v>
      </c>
      <c r="K155" t="s">
        <v>288</v>
      </c>
      <c r="L155" t="s">
        <v>288</v>
      </c>
    </row>
    <row r="156" spans="6:12">
      <c r="F156" t="s">
        <v>63</v>
      </c>
      <c r="G156" t="s">
        <v>64</v>
      </c>
      <c r="H156" t="s">
        <v>286</v>
      </c>
      <c r="I156" t="s">
        <v>288</v>
      </c>
      <c r="J156" t="s">
        <v>288</v>
      </c>
      <c r="K156" t="s">
        <v>288</v>
      </c>
      <c r="L156" t="s">
        <v>288</v>
      </c>
    </row>
    <row r="157" spans="6:12">
      <c r="F157" t="s">
        <v>63</v>
      </c>
      <c r="G157" t="s">
        <v>64</v>
      </c>
      <c r="H157" t="s">
        <v>287</v>
      </c>
      <c r="I157" t="s">
        <v>288</v>
      </c>
      <c r="K157" t="s">
        <v>288</v>
      </c>
      <c r="L157" t="s">
        <v>288</v>
      </c>
    </row>
    <row r="158" spans="6:12">
      <c r="F158" t="s">
        <v>63</v>
      </c>
      <c r="G158" t="s">
        <v>64</v>
      </c>
      <c r="H158" t="s">
        <v>83</v>
      </c>
      <c r="I158" t="s">
        <v>288</v>
      </c>
      <c r="K158" t="s">
        <v>288</v>
      </c>
      <c r="L158" t="s">
        <v>288</v>
      </c>
    </row>
    <row r="159" spans="6:12">
      <c r="F159" t="s">
        <v>63</v>
      </c>
      <c r="G159" t="s">
        <v>64</v>
      </c>
      <c r="H159" t="s">
        <v>289</v>
      </c>
      <c r="K159" t="s">
        <v>288</v>
      </c>
      <c r="L159" t="s">
        <v>288</v>
      </c>
    </row>
    <row r="160" spans="6:12">
      <c r="F160" t="s">
        <v>63</v>
      </c>
      <c r="G160" t="s">
        <v>64</v>
      </c>
      <c r="H160" t="s">
        <v>89</v>
      </c>
      <c r="I160" t="s">
        <v>288</v>
      </c>
      <c r="J160" t="s">
        <v>288</v>
      </c>
      <c r="K160" t="s">
        <v>288</v>
      </c>
      <c r="L160" t="s">
        <v>288</v>
      </c>
    </row>
    <row r="161" spans="6:12">
      <c r="F161" t="s">
        <v>63</v>
      </c>
      <c r="G161" t="s">
        <v>64</v>
      </c>
      <c r="H161" t="s">
        <v>290</v>
      </c>
      <c r="I161" t="s">
        <v>288</v>
      </c>
      <c r="K161" t="s">
        <v>288</v>
      </c>
      <c r="L161" t="s">
        <v>288</v>
      </c>
    </row>
    <row r="162" spans="6:12">
      <c r="F162" t="s">
        <v>63</v>
      </c>
      <c r="G162" t="s">
        <v>64</v>
      </c>
      <c r="H162" t="s">
        <v>93</v>
      </c>
      <c r="I162" t="s">
        <v>288</v>
      </c>
      <c r="K162" t="str">
        <f>"香港上海滙豐銀行"&amp;C2&amp;C3&amp;"計價"&amp;IF(OR(Term!$P$2=Term!$E$2,Term!$L$2="Daily",Term!$L$2="Period End"),"自動提前到期","記憶式自動提前到期")&amp;"固定配息股權連結（無保證機構無擔保）（不保本）結構型商品"</f>
        <v>香港上海滙豐銀行10年期美元計價記憶式自動提前到期固定配息股權連結（無保證機構無擔保）（不保本）結構型商品</v>
      </c>
      <c r="L162" t="str">
        <f>IF(Term!$G$2&lt;&gt;"","Maxi ","")&amp;
IF(Term!$L$2="Daily Memory","Daily Memory ",IF(Term!$L$2="Daily","Daily ",IF(Term!$L$2="Period End Memory","Memory ","")))&amp;
"Autocallable Fixed Coupon Notes(Non Guaranteed,Unsecured)"</f>
        <v>Autocallable Fixed Coupon Notes(Non Guaranteed,Unsecured)</v>
      </c>
    </row>
    <row r="163" spans="6:12">
      <c r="F163" t="s">
        <v>63</v>
      </c>
      <c r="G163" t="s">
        <v>64</v>
      </c>
      <c r="H163" t="s">
        <v>1580</v>
      </c>
      <c r="K163" t="str">
        <f>"香港上海滙豐銀行"&amp;C2&amp;C3&amp;"計價"&amp;IF(OR(Term!$P$2=Term!$E$2,Term!$L$2="Daily",Term!$L$2="Period End"),"自動提前到期","記憶式自動提前到期")&amp;"固定配息股權連結（無保證機構無擔保）（不保本）結構型商品"</f>
        <v>香港上海滙豐銀行10年期美元計價記憶式自動提前到期固定配息股權連結（無保證機構無擔保）（不保本）結構型商品</v>
      </c>
      <c r="L163" t="str">
        <f>IF(Term!$G$2&lt;&gt;"","Maxi ","")&amp;
IF(Term!$L$2="Period End Memory","Memory ","")&amp;
"Stepdown Autocallable Fixed Coupon Notes(Non Guaranteed,Unsecured)"</f>
        <v>Stepdown Autocallable Fixed Coupon Notes(Non Guaranteed,Unsecured)</v>
      </c>
    </row>
    <row r="164" spans="6:12">
      <c r="F164" t="s">
        <v>63</v>
      </c>
      <c r="G164" t="s">
        <v>64</v>
      </c>
      <c r="H164" t="s">
        <v>1586</v>
      </c>
      <c r="K164" t="str">
        <f>"香港上海滙豐銀行"&amp;C2&amp;C3&amp;"計價"&amp;IF(OR(Term!$P$2=Term!$E$2,Term!$L$2="Daily",Term!$L$2="Period End"),"自動提前到期","記憶式自動提前到期")&amp;"固定配息股權連結（無保證機構無擔保）（不保本）結構型商品"</f>
        <v>香港上海滙豐銀行10年期美元計價記憶式自動提前到期固定配息股權連結（無保證機構無擔保）（不保本）結構型商品</v>
      </c>
      <c r="L164" t="str">
        <f>IF(Term!$G$2&lt;&gt;"","Maxi ","")&amp;
IF(Term!$L$2="Daily Memory","Daily Memory ",IF(Term!$L$2="Daily","Daily ",IF(Term!$L$2="Period End Memory","Memory ","")))&amp;
"Autocallable Express Fixed Coupon Notes(Non Guaranteed,Unsecured)"</f>
        <v>Autocallable Express Fixed Coupon Notes(Non Guaranteed,Unsecured)</v>
      </c>
    </row>
    <row r="165" spans="6:12">
      <c r="F165" t="s">
        <v>63</v>
      </c>
      <c r="G165" t="s">
        <v>64</v>
      </c>
      <c r="H165" t="s">
        <v>1584</v>
      </c>
      <c r="K165" t="str">
        <f>"香港上海滙豐銀行"&amp;C2&amp;C3&amp;"計價"&amp;IF(OR(Term!$P$2=Term!$E$2,Term!$L$2="Daily",Term!$L$2="Period End"),"自動提前到期","記憶式自動提前到期")&amp;"固定配息股權連結（無保證機構無擔保）（不保本）結構型商品"</f>
        <v>香港上海滙豐銀行10年期美元計價記憶式自動提前到期固定配息股權連結（無保證機構無擔保）（不保本）結構型商品</v>
      </c>
      <c r="L165" t="str">
        <f>IF(Term!$G$2&lt;&gt;"","Maxi ","")&amp;
IF(Term!$L$2="Daily Memory","Daily Memory ",IF(Term!$L$2="Daily","Daily ",IF(Term!$L$2="Period End Memory","Memory ","")))&amp;
"Autocallable Fixed Coupon Notes with One Star(Non Guaranteed,Unsecured)"</f>
        <v>Autocallable Fixed Coupon Notes with One Star(Non Guaranteed,Unsecured)</v>
      </c>
    </row>
    <row r="166" spans="6:12">
      <c r="F166" t="s">
        <v>63</v>
      </c>
      <c r="G166" t="s">
        <v>64</v>
      </c>
      <c r="H166" t="s">
        <v>291</v>
      </c>
      <c r="I166" t="s">
        <v>288</v>
      </c>
      <c r="K166" t="str">
        <f>"香港上海滙豐銀行"&amp;C2&amp;C3&amp;"計價"&amp;IF(OR(Term!$P$2=Term!$E$2,Term!$L$2="Daily",Term!$L$2="Period End"),"自動提前到期","記憶式自動提前到期")&amp;"區間累計配息股權連結（無保證機構無擔保） （不保本）結構型商品"</f>
        <v>香港上海滙豐銀行10年期美元計價記憶式自動提前到期區間累計配息股權連結（無保證機構無擔保） （不保本）結構型商品</v>
      </c>
      <c r="L166" t="str">
        <f>IF(Term!$G$2&lt;&gt;"","Maxi ","")&amp;IF(Term!$L$2="Daily Memory","Daily Memory",IF(Term!$L$2="Daily","Daily ",IF(Term!$L$2="Period End Memory","Memory","")))&amp;"Autocallable Floored Accrual Notes (Non Guaranteed, Unsecured)"</f>
        <v>Autocallable Floored Accrual Notes (Non Guaranteed, Unsecured)</v>
      </c>
    </row>
    <row r="167" spans="6:12">
      <c r="F167" t="s">
        <v>63</v>
      </c>
      <c r="G167" t="s">
        <v>64</v>
      </c>
      <c r="H167" t="s">
        <v>299</v>
      </c>
      <c r="K167" t="str">
        <f>"香港上海滙豐銀行"&amp;C2&amp;C3&amp;"計價紅利表現股權連結（無保證機構無擔保）（不保本）結構型商品"</f>
        <v>香港上海滙豐銀行10年期美元計價紅利表現股權連結（無保證機構無擔保）（不保本）結構型商品</v>
      </c>
      <c r="L167" t="s">
        <v>1528</v>
      </c>
    </row>
    <row r="168" spans="6:12">
      <c r="F168" t="s">
        <v>63</v>
      </c>
      <c r="G168" t="s">
        <v>64</v>
      </c>
      <c r="H168" t="s">
        <v>300</v>
      </c>
      <c r="K168" t="str">
        <f>"香港上海滙豐銀行"&amp;C2&amp;C3&amp;"計價紅利配息股權連結（無保證機構無擔保）（不保本）結構型商品"</f>
        <v>香港上海滙豐銀行10年期美元計價紅利配息股權連結（無保證機構無擔保）（不保本）結構型商品</v>
      </c>
      <c r="L168" t="s">
        <v>1529</v>
      </c>
    </row>
    <row r="169" spans="6:12">
      <c r="F169" t="s">
        <v>63</v>
      </c>
      <c r="G169" t="s">
        <v>64</v>
      </c>
      <c r="H169" t="s">
        <v>293</v>
      </c>
      <c r="K169" t="s">
        <v>288</v>
      </c>
      <c r="L169" t="s">
        <v>288</v>
      </c>
    </row>
    <row r="170" spans="6:12">
      <c r="F170" t="s">
        <v>63</v>
      </c>
      <c r="G170" t="s">
        <v>64</v>
      </c>
      <c r="H170" t="s">
        <v>294</v>
      </c>
      <c r="K170" t="str">
        <f>"香港上海滙豐銀行"&amp;C2&amp;C3&amp;"計價"&amp;"自動提前到期股權連結（無保證機構無擔保）（不保本）結構型商品"</f>
        <v>香港上海滙豐銀行10年期美元計價自動提前到期股權連結（無保證機構無擔保）（不保本）結構型商品</v>
      </c>
      <c r="L170" t="str">
        <f>IF(Term!$G$2&lt;&gt;"","Maxi ","")&amp;"SuperBull Notes (Non Guaranteed,Unsecured)"</f>
        <v>SuperBull Notes (Non Guaranteed,Unsecured)</v>
      </c>
    </row>
    <row r="171" spans="6:12">
      <c r="F171" t="s">
        <v>65</v>
      </c>
      <c r="G171" t="s">
        <v>66</v>
      </c>
      <c r="H171" t="s">
        <v>286</v>
      </c>
      <c r="I171" t="s">
        <v>288</v>
      </c>
      <c r="J171" t="s">
        <v>288</v>
      </c>
      <c r="K171" t="s">
        <v>288</v>
      </c>
      <c r="L171" t="s">
        <v>288</v>
      </c>
    </row>
    <row r="172" spans="6:12">
      <c r="F172" t="s">
        <v>65</v>
      </c>
      <c r="G172" t="s">
        <v>66</v>
      </c>
      <c r="H172" t="s">
        <v>287</v>
      </c>
      <c r="I172" t="s">
        <v>288</v>
      </c>
      <c r="J172" t="s">
        <v>288</v>
      </c>
      <c r="K172" t="s">
        <v>288</v>
      </c>
      <c r="L172" t="s">
        <v>288</v>
      </c>
    </row>
    <row r="173" spans="6:12">
      <c r="F173" t="s">
        <v>65</v>
      </c>
      <c r="G173" t="s">
        <v>66</v>
      </c>
      <c r="H173" t="s">
        <v>83</v>
      </c>
      <c r="I173" t="s">
        <v>288</v>
      </c>
      <c r="J173" t="s">
        <v>288</v>
      </c>
      <c r="K173" t="s">
        <v>288</v>
      </c>
      <c r="L173" t="s">
        <v>288</v>
      </c>
    </row>
    <row r="174" spans="6:12">
      <c r="F174" t="s">
        <v>65</v>
      </c>
      <c r="G174" t="s">
        <v>66</v>
      </c>
      <c r="H174" t="s">
        <v>289</v>
      </c>
      <c r="I174" t="s">
        <v>288</v>
      </c>
      <c r="J174" t="s">
        <v>288</v>
      </c>
      <c r="K174" t="s">
        <v>288</v>
      </c>
      <c r="L174" t="s">
        <v>288</v>
      </c>
    </row>
    <row r="175" spans="6:12">
      <c r="F175" t="s">
        <v>65</v>
      </c>
      <c r="G175" t="s">
        <v>66</v>
      </c>
      <c r="H175" t="s">
        <v>89</v>
      </c>
      <c r="I175" t="s">
        <v>288</v>
      </c>
      <c r="J175" t="s">
        <v>288</v>
      </c>
      <c r="K175" t="s">
        <v>288</v>
      </c>
      <c r="L175" t="s">
        <v>288</v>
      </c>
    </row>
    <row r="176" spans="6:12">
      <c r="F176" t="s">
        <v>65</v>
      </c>
      <c r="G176" t="s">
        <v>66</v>
      </c>
      <c r="H176" t="s">
        <v>290</v>
      </c>
      <c r="I176" t="s">
        <v>288</v>
      </c>
      <c r="J176" t="s">
        <v>288</v>
      </c>
      <c r="K176" t="s">
        <v>288</v>
      </c>
      <c r="L176" t="s">
        <v>288</v>
      </c>
    </row>
    <row r="177" spans="6:12">
      <c r="F177" t="s">
        <v>65</v>
      </c>
      <c r="G177" t="s">
        <v>66</v>
      </c>
      <c r="H177" t="s">
        <v>93</v>
      </c>
      <c r="I177" t="s">
        <v>288</v>
      </c>
      <c r="J177" t="s">
        <v>288</v>
      </c>
      <c r="K177" t="s">
        <v>288</v>
      </c>
      <c r="L177" t="s">
        <v>288</v>
      </c>
    </row>
    <row r="178" spans="6:12">
      <c r="F178" t="s">
        <v>65</v>
      </c>
      <c r="G178" t="s">
        <v>66</v>
      </c>
      <c r="H178" t="s">
        <v>291</v>
      </c>
      <c r="I178" t="s">
        <v>288</v>
      </c>
      <c r="J178" t="s">
        <v>288</v>
      </c>
      <c r="K178" t="s">
        <v>288</v>
      </c>
      <c r="L178" t="s">
        <v>288</v>
      </c>
    </row>
    <row r="179" spans="6:12">
      <c r="F179" t="s">
        <v>65</v>
      </c>
      <c r="G179" t="s">
        <v>66</v>
      </c>
      <c r="H179" t="s">
        <v>299</v>
      </c>
      <c r="I179" t="s">
        <v>288</v>
      </c>
      <c r="J179" t="s">
        <v>288</v>
      </c>
      <c r="K179" t="s">
        <v>288</v>
      </c>
      <c r="L179" t="s">
        <v>288</v>
      </c>
    </row>
    <row r="180" spans="6:12">
      <c r="F180" t="s">
        <v>65</v>
      </c>
      <c r="G180" t="s">
        <v>66</v>
      </c>
      <c r="H180" t="s">
        <v>300</v>
      </c>
      <c r="I180" t="s">
        <v>288</v>
      </c>
      <c r="J180" t="s">
        <v>288</v>
      </c>
      <c r="K180" t="s">
        <v>288</v>
      </c>
      <c r="L180" t="s">
        <v>288</v>
      </c>
    </row>
    <row r="181" spans="6:12">
      <c r="F181" t="s">
        <v>65</v>
      </c>
      <c r="G181" t="s">
        <v>66</v>
      </c>
      <c r="H181" t="s">
        <v>293</v>
      </c>
      <c r="I181" t="s">
        <v>288</v>
      </c>
      <c r="J181" t="s">
        <v>288</v>
      </c>
      <c r="K181" t="s">
        <v>288</v>
      </c>
      <c r="L181" t="s">
        <v>288</v>
      </c>
    </row>
    <row r="182" spans="6:12">
      <c r="F182" s="92" t="s">
        <v>1558</v>
      </c>
      <c r="G182" t="s">
        <v>1560</v>
      </c>
      <c r="H182" t="s">
        <v>286</v>
      </c>
      <c r="I182" t="s">
        <v>288</v>
      </c>
      <c r="J182" t="s">
        <v>288</v>
      </c>
    </row>
    <row r="183" spans="6:12">
      <c r="F183" s="92" t="s">
        <v>1558</v>
      </c>
      <c r="G183" t="s">
        <v>1560</v>
      </c>
      <c r="H183" t="s">
        <v>287</v>
      </c>
      <c r="I183" t="s">
        <v>288</v>
      </c>
      <c r="J183" t="s">
        <v>288</v>
      </c>
    </row>
    <row r="184" spans="6:12">
      <c r="F184" s="92" t="s">
        <v>1558</v>
      </c>
      <c r="G184" t="s">
        <v>1560</v>
      </c>
      <c r="H184" t="s">
        <v>83</v>
      </c>
      <c r="I184" t="s">
        <v>288</v>
      </c>
      <c r="J184" t="s">
        <v>288</v>
      </c>
    </row>
    <row r="185" spans="6:12">
      <c r="F185" s="92" t="s">
        <v>1558</v>
      </c>
      <c r="G185" t="s">
        <v>1560</v>
      </c>
      <c r="H185" t="s">
        <v>289</v>
      </c>
      <c r="I185" t="s">
        <v>288</v>
      </c>
      <c r="J185" t="s">
        <v>288</v>
      </c>
    </row>
    <row r="186" spans="6:12">
      <c r="F186" s="92" t="s">
        <v>1558</v>
      </c>
      <c r="G186" t="s">
        <v>1560</v>
      </c>
      <c r="H186" t="s">
        <v>89</v>
      </c>
      <c r="I186" t="s">
        <v>288</v>
      </c>
      <c r="J186" t="s">
        <v>288</v>
      </c>
    </row>
    <row r="187" spans="6:12">
      <c r="F187" s="92" t="s">
        <v>1558</v>
      </c>
      <c r="G187" t="s">
        <v>1560</v>
      </c>
      <c r="H187" t="s">
        <v>290</v>
      </c>
      <c r="I187" t="s">
        <v>288</v>
      </c>
      <c r="J187" t="s">
        <v>288</v>
      </c>
    </row>
    <row r="188" spans="6:12">
      <c r="F188" s="92" t="s">
        <v>1558</v>
      </c>
      <c r="G188" t="s">
        <v>1560</v>
      </c>
      <c r="H188" t="s">
        <v>93</v>
      </c>
      <c r="I188" t="s">
        <v>288</v>
      </c>
      <c r="J188" t="s">
        <v>288</v>
      </c>
      <c r="K188" t="str">
        <f>"BBVA GLOBAL MARKETS, B.V. "&amp;$C$2&amp;$C$3&amp;"計價自動提前贖回連結一籃子股票結構型商品 (無擔保及不保本)"</f>
        <v>BBVA GLOBAL MARKETS, B.V. 10年期美元計價自動提前贖回連結一籃子股票結構型商品 (無擔保及不保本)</v>
      </c>
      <c r="L188" t="str">
        <f>"BBVA GLOBAL MARKETS, B.V. "&amp;Term!D$2&amp;" "&amp;Term!P$2&amp;"-month Autocallable Basket of Equity Linked Notes (Non Principal Guaranteed and Unsecured)"</f>
        <v>BBVA GLOBAL MARKETS, B.V. USD 10-month Autocallable Basket of Equity Linked Notes (Non Principal Guaranteed and Unsecured)</v>
      </c>
    </row>
    <row r="189" spans="6:12">
      <c r="F189" s="92" t="s">
        <v>1558</v>
      </c>
      <c r="G189" t="s">
        <v>1560</v>
      </c>
      <c r="H189" t="s">
        <v>291</v>
      </c>
      <c r="I189" t="s">
        <v>288</v>
      </c>
      <c r="J189" t="s">
        <v>288</v>
      </c>
    </row>
    <row r="190" spans="6:12">
      <c r="F190" s="92" t="s">
        <v>1558</v>
      </c>
      <c r="G190" t="s">
        <v>1560</v>
      </c>
      <c r="H190" t="s">
        <v>299</v>
      </c>
      <c r="I190" t="s">
        <v>288</v>
      </c>
      <c r="J190" t="s">
        <v>288</v>
      </c>
    </row>
    <row r="191" spans="6:12">
      <c r="F191" s="92" t="s">
        <v>1558</v>
      </c>
      <c r="G191" t="s">
        <v>1560</v>
      </c>
      <c r="H191" t="s">
        <v>300</v>
      </c>
      <c r="I191" t="s">
        <v>288</v>
      </c>
      <c r="J191" t="s">
        <v>288</v>
      </c>
    </row>
    <row r="192" spans="6:12">
      <c r="F192" s="92" t="s">
        <v>1558</v>
      </c>
      <c r="G192" t="s">
        <v>1560</v>
      </c>
      <c r="H192" t="s">
        <v>293</v>
      </c>
      <c r="I192" t="s">
        <v>288</v>
      </c>
      <c r="J192" t="s">
        <v>288</v>
      </c>
    </row>
    <row r="193" spans="6:12">
      <c r="F193" s="92" t="s">
        <v>1558</v>
      </c>
      <c r="G193" t="s">
        <v>1560</v>
      </c>
      <c r="H193" t="s">
        <v>294</v>
      </c>
      <c r="I193" t="s">
        <v>288</v>
      </c>
      <c r="J193" t="s">
        <v>288</v>
      </c>
    </row>
    <row r="194" spans="6:12">
      <c r="F194" s="92" t="s">
        <v>1587</v>
      </c>
      <c r="G194" t="s">
        <v>1589</v>
      </c>
      <c r="H194" t="s">
        <v>1590</v>
      </c>
      <c r="K194" t="str">
        <f>IF(OR(Term!$L$2="Daily Memory",Term!$L$2="Daily",Term!$L$2="Period End Memory",Term!$L$2="Period End"),"星展銀行"&amp;產品名稱!$C$2&amp;產品名稱!$C$3&amp;"計價"&amp;產品名稱!$C$6&amp;"區間累計配息"&amp;IF(Term!$L$2="Daily Memory","記憶型每日觀察",IF(Term!$L$2="Daily","每日觀察",IF(Term!$L$2="Period End Memory","記憶型定期觀察",IF(Term!$L$2="Period End","定期觀察",""))))&amp;"自動提前出場"&amp;IF(Term!$R$2="AKI","及每日觸發(美式)",IF(Term!$R$2="EKI","及定價日觸發(歐式)",""))&amp;"一籃子中表現最差股權連結結構型商品（無擔保及無保證機構）（不保本）","-")</f>
        <v>-</v>
      </c>
      <c r="L194" t="str">
        <f>IF(OR(Term!$L$2="Daily Memory",Term!$L$2="Daily",Term!$L$2="Period End Memory",Term!$L$2="Period End"),"DBS Bank Ltd "&amp;Term!$P$2&amp;"-Month "&amp;Term!$D$2&amp;IF(產品名稱!$C$6&lt;&gt;""," "&amp;產品名稱!$C$6,"")&amp;" Range Accrual "&amp;IF(Term!$L$2="Daily Memory","Memory Daily Knock-Out",IF(Term!$L$2="Daily","Daily Knock-Out",IF(Term!$L$2="Period End Memory","Memory Period Knock-Out",IF(Term!$L$2="Period End","Period Knock-Out",""))))&amp;" "&amp;IF(Term!$R$2="AKI","American Knock-In",IF(Term!$R$2="EKI","European Knock-In",""))&amp;" Worst of Basket Equity Linked Notes (unsecured and non-guaranteed) (non-principal protected)","-")</f>
        <v>-</v>
      </c>
    </row>
    <row r="195" spans="6:12">
      <c r="F195" s="92" t="s">
        <v>1587</v>
      </c>
      <c r="G195" t="s">
        <v>1589</v>
      </c>
      <c r="H195" t="s">
        <v>1585</v>
      </c>
      <c r="K195" t="str">
        <f>IF(OR(Term!$L$2="Daily Memory",Term!$L$2="Daily",Term!$L$2="Period End Memory",Term!$L$2="Period End"),"星展銀行"&amp;產品名稱!$C$2&amp;產品名稱!$C$3&amp;"計價"&amp;產品名稱!$C$6&amp;"固定利率"&amp;IF(Term!$L$2="Daily Memory","記憶型每日觀察",IF(Term!$L$2="Daily","每日觀察",IF(Term!$L$2="Period End Memory","記憶型定期觀察",IF(Term!$L$2="Period End","定期觀察",""))))&amp;"自動提前出場"&amp;IF(Term!$R$2="AKI","及每日觸發(美式)",IF(Term!$R$2="EKI","及定價日觸發(歐式)",""))&amp;"一籃子中表現最差股權連結結構型商品（無擔保及無保證機構）（不保本）","-")</f>
        <v>-</v>
      </c>
      <c r="L195" t="str">
        <f>IF(OR(Term!$L$2="Daily Memory",Term!$L$2="Daily",Term!$L$2="Period End Memory",Term!$L$2="Period End"),"DBS Bank Ltd "&amp;Term!$P$2&amp;"-Month "&amp;Term!$D$2&amp;IF(產品名稱!$C$6&lt;&gt;""," "&amp;產品名稱!$C$6,"")&amp;" Fixed Coupon "&amp;IF(Term!$L$2="Daily Memory","Memory Daily Knock-Out",IF(Term!$L$2="Daily","Daily Knock-Out",IF(Term!$L$2="Period End Memory","Memory Period Knock-Out",IF(Term!$L$2="Period End","Period Knock-Out",""))))&amp;" "&amp;IF(Term!$R$2="AKI","American Knock-In",IF(Term!$R$2="EKI","European Knock-In",""))&amp;" Worst of Basket Equity Linked Notes (unsecured and non-guaranteed) (non-principal protected)","-")</f>
        <v>-</v>
      </c>
    </row>
  </sheetData>
  <autoFilter ref="F8:L195" xr:uid="{EDAE6D02-18AD-43C2-AA90-54880F714FDC}"/>
  <phoneticPr fontId="2"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87A402-E6F0-4C44-B6D1-E9E482237F04}">
  <sheetPr codeName="工作表7"/>
  <dimension ref="A1:U107"/>
  <sheetViews>
    <sheetView zoomScale="55" zoomScaleNormal="55" zoomScaleSheetLayoutView="40" workbookViewId="0"/>
  </sheetViews>
  <sheetFormatPr defaultColWidth="9" defaultRowHeight="30.75"/>
  <cols>
    <col min="1" max="2" width="45" style="20" customWidth="1"/>
    <col min="3" max="3" width="55.375" style="20" customWidth="1"/>
    <col min="4" max="5" width="9" style="20"/>
    <col min="6" max="6" width="9.875" style="59" bestFit="1" customWidth="1"/>
    <col min="7" max="7" width="33" style="21" customWidth="1"/>
    <col min="8" max="8" width="53.5" style="21" bestFit="1" customWidth="1"/>
    <col min="9" max="9" width="27.125" style="21" bestFit="1" customWidth="1"/>
    <col min="10" max="10" width="31.375" style="21" bestFit="1" customWidth="1"/>
    <col min="11" max="11" width="27" style="21" bestFit="1" customWidth="1"/>
    <col min="12" max="12" width="38.875" style="21" bestFit="1" customWidth="1"/>
    <col min="13" max="13" width="46.375" style="21" bestFit="1" customWidth="1"/>
    <col min="14" max="14" width="17" style="20" bestFit="1" customWidth="1"/>
    <col min="15" max="15" width="31.375" style="20" bestFit="1" customWidth="1"/>
    <col min="16" max="16" width="9" style="20"/>
    <col min="17" max="17" width="63" style="20" bestFit="1" customWidth="1"/>
    <col min="18" max="18" width="77.625" style="20" customWidth="1"/>
    <col min="19" max="19" width="11.75" style="20" customWidth="1"/>
    <col min="20" max="20" width="32.375" style="20" bestFit="1" customWidth="1"/>
    <col min="21" max="21" width="17.625" style="20" customWidth="1"/>
    <col min="22" max="16384" width="9" style="20"/>
  </cols>
  <sheetData>
    <row r="1" spans="1:21">
      <c r="F1" s="20"/>
    </row>
    <row r="2" spans="1:21" ht="60" customHeight="1">
      <c r="A2" s="23" t="s">
        <v>303</v>
      </c>
      <c r="B2" s="24" t="s">
        <v>304</v>
      </c>
      <c r="C2" s="24" t="s">
        <v>305</v>
      </c>
      <c r="F2" s="20"/>
      <c r="H2" s="25"/>
    </row>
    <row r="3" spans="1:21" ht="142.5" thickBot="1">
      <c r="A3" s="24" t="s">
        <v>306</v>
      </c>
      <c r="B3" s="26" t="s">
        <v>1585</v>
      </c>
      <c r="C3" s="27" t="s">
        <v>1556</v>
      </c>
      <c r="F3" s="20"/>
      <c r="G3" s="21" t="s">
        <v>307</v>
      </c>
      <c r="H3" s="21" t="s">
        <v>308</v>
      </c>
      <c r="I3" s="28" t="s">
        <v>1585</v>
      </c>
    </row>
    <row r="4" spans="1:21" ht="72" customHeight="1" thickBot="1">
      <c r="A4" s="29" t="s">
        <v>309</v>
      </c>
      <c r="B4" s="30">
        <v>0</v>
      </c>
      <c r="C4" s="31" t="s">
        <v>310</v>
      </c>
      <c r="F4" s="20"/>
      <c r="G4" s="32" t="s">
        <v>311</v>
      </c>
      <c r="H4" s="32" t="s">
        <v>312</v>
      </c>
      <c r="I4" s="32" t="s">
        <v>313</v>
      </c>
      <c r="J4" s="32" t="s">
        <v>314</v>
      </c>
      <c r="K4" s="32" t="s">
        <v>315</v>
      </c>
      <c r="O4"/>
      <c r="P4"/>
      <c r="Q4" s="33" t="s">
        <v>316</v>
      </c>
      <c r="R4" s="33" t="s">
        <v>317</v>
      </c>
      <c r="S4" s="33" t="s">
        <v>318</v>
      </c>
      <c r="T4" s="33" t="s">
        <v>319</v>
      </c>
      <c r="U4" s="33" t="s">
        <v>320</v>
      </c>
    </row>
    <row r="5" spans="1:21" ht="72" customHeight="1" thickBot="1">
      <c r="A5" s="29" t="s">
        <v>321</v>
      </c>
      <c r="B5" s="30" t="s">
        <v>1620</v>
      </c>
      <c r="C5" s="31" t="s">
        <v>310</v>
      </c>
      <c r="F5" s="20"/>
      <c r="G5" s="21">
        <v>40</v>
      </c>
      <c r="H5" s="21" t="s">
        <v>322</v>
      </c>
      <c r="I5" s="34">
        <v>0</v>
      </c>
      <c r="J5" s="35">
        <v>5</v>
      </c>
      <c r="K5" s="36">
        <f>G5*J5/100</f>
        <v>2</v>
      </c>
      <c r="O5"/>
      <c r="P5"/>
      <c r="Q5" s="37" t="s">
        <v>73</v>
      </c>
      <c r="R5" s="37" t="s">
        <v>323</v>
      </c>
      <c r="S5" s="37" t="s">
        <v>324</v>
      </c>
      <c r="T5" s="37" t="s">
        <v>298</v>
      </c>
      <c r="U5" s="38" t="s">
        <v>325</v>
      </c>
    </row>
    <row r="6" spans="1:21" ht="72" customHeight="1" thickBot="1">
      <c r="A6" s="39" t="s">
        <v>326</v>
      </c>
      <c r="B6" s="26" t="s">
        <v>1582</v>
      </c>
      <c r="C6" s="31" t="s">
        <v>327</v>
      </c>
      <c r="F6" s="20"/>
      <c r="G6" s="21">
        <v>20</v>
      </c>
      <c r="H6" s="21" t="s">
        <v>328</v>
      </c>
      <c r="I6" s="28" t="s">
        <v>1620</v>
      </c>
      <c r="J6" s="35">
        <v>1</v>
      </c>
      <c r="K6" s="36">
        <f>G6*J6/100</f>
        <v>0.2</v>
      </c>
      <c r="O6"/>
      <c r="P6"/>
      <c r="Q6" s="37" t="s">
        <v>78</v>
      </c>
      <c r="R6" s="37" t="s">
        <v>329</v>
      </c>
      <c r="S6" s="37" t="s">
        <v>330</v>
      </c>
      <c r="T6" s="37" t="s">
        <v>331</v>
      </c>
      <c r="U6" s="38" t="s">
        <v>332</v>
      </c>
    </row>
    <row r="7" spans="1:21" ht="72" customHeight="1" thickBot="1">
      <c r="A7" s="39" t="s">
        <v>333</v>
      </c>
      <c r="B7" s="26">
        <v>3</v>
      </c>
      <c r="C7" s="31"/>
      <c r="F7" s="20"/>
      <c r="G7" s="21">
        <v>30</v>
      </c>
      <c r="H7" s="21" t="s">
        <v>334</v>
      </c>
      <c r="I7" s="40">
        <f>J18</f>
        <v>5</v>
      </c>
      <c r="J7" s="36">
        <f>J18</f>
        <v>5</v>
      </c>
      <c r="K7" s="36">
        <f t="shared" ref="K7:K8" si="0">G7*J7/100</f>
        <v>1.5</v>
      </c>
      <c r="O7"/>
      <c r="P7"/>
      <c r="Q7" s="37" t="s">
        <v>335</v>
      </c>
      <c r="R7" s="37" t="s">
        <v>336</v>
      </c>
      <c r="S7" s="37" t="s">
        <v>330</v>
      </c>
      <c r="T7" s="37" t="s">
        <v>331</v>
      </c>
      <c r="U7" s="38" t="s">
        <v>332</v>
      </c>
    </row>
    <row r="8" spans="1:21" ht="72" customHeight="1" thickBot="1">
      <c r="A8" s="24" t="s">
        <v>337</v>
      </c>
      <c r="B8" s="41" t="s">
        <v>1617</v>
      </c>
      <c r="C8" s="42" t="s">
        <v>1618</v>
      </c>
      <c r="F8" s="20"/>
      <c r="G8" s="21">
        <v>10</v>
      </c>
      <c r="H8" s="21" t="s">
        <v>339</v>
      </c>
      <c r="I8" s="43">
        <f>J24</f>
        <v>2.6</v>
      </c>
      <c r="J8" s="36">
        <f>J24</f>
        <v>2.6</v>
      </c>
      <c r="K8" s="36">
        <f t="shared" si="0"/>
        <v>0.26</v>
      </c>
      <c r="O8"/>
      <c r="P8"/>
      <c r="Q8" s="37" t="s">
        <v>340</v>
      </c>
      <c r="R8" s="37" t="s">
        <v>341</v>
      </c>
      <c r="S8" s="37" t="s">
        <v>324</v>
      </c>
      <c r="T8" s="37" t="s">
        <v>298</v>
      </c>
      <c r="U8" s="38" t="s">
        <v>325</v>
      </c>
    </row>
    <row r="9" spans="1:21" ht="72" customHeight="1" thickBot="1">
      <c r="A9" s="24" t="s">
        <v>342</v>
      </c>
      <c r="B9" s="41" t="s">
        <v>1621</v>
      </c>
      <c r="C9" s="31" t="s">
        <v>1618</v>
      </c>
      <c r="F9" s="20"/>
      <c r="K9" s="44">
        <f>SUM(K5:K8)</f>
        <v>3.96</v>
      </c>
      <c r="L9" s="45" t="str">
        <f>LOOKUP($K$9,$I$60:$I$64,$K$60:$K$64)</f>
        <v>RR4</v>
      </c>
      <c r="O9"/>
      <c r="P9"/>
      <c r="Q9" s="37" t="s">
        <v>89</v>
      </c>
      <c r="R9" s="37" t="s">
        <v>344</v>
      </c>
      <c r="S9" s="37" t="s">
        <v>324</v>
      </c>
      <c r="T9" s="37" t="s">
        <v>298</v>
      </c>
      <c r="U9" s="38" t="s">
        <v>325</v>
      </c>
    </row>
    <row r="10" spans="1:21" ht="72" customHeight="1" thickBot="1">
      <c r="A10" s="24" t="s">
        <v>345</v>
      </c>
      <c r="B10" s="41" t="s">
        <v>1622</v>
      </c>
      <c r="C10" s="42" t="s">
        <v>1616</v>
      </c>
      <c r="F10" s="20"/>
      <c r="O10"/>
      <c r="P10"/>
      <c r="Q10" s="37" t="s">
        <v>290</v>
      </c>
      <c r="R10" s="37" t="s">
        <v>346</v>
      </c>
      <c r="S10" s="37" t="s">
        <v>324</v>
      </c>
      <c r="T10" s="37" t="s">
        <v>298</v>
      </c>
      <c r="U10" s="38" t="s">
        <v>347</v>
      </c>
    </row>
    <row r="11" spans="1:21" ht="72" customHeight="1" thickBot="1">
      <c r="A11" s="24" t="s">
        <v>348</v>
      </c>
      <c r="B11" s="41" t="s">
        <v>301</v>
      </c>
      <c r="C11" s="31" t="s">
        <v>1465</v>
      </c>
      <c r="F11" s="20"/>
      <c r="G11" s="21" t="s">
        <v>334</v>
      </c>
      <c r="O11"/>
      <c r="P11"/>
      <c r="Q11" s="37" t="s">
        <v>93</v>
      </c>
      <c r="R11" s="37" t="s">
        <v>349</v>
      </c>
      <c r="S11" s="37" t="s">
        <v>350</v>
      </c>
      <c r="T11" s="37" t="s">
        <v>351</v>
      </c>
      <c r="U11" s="38" t="s">
        <v>352</v>
      </c>
    </row>
    <row r="12" spans="1:21" ht="72" customHeight="1" thickBot="1">
      <c r="A12" s="24" t="s">
        <v>353</v>
      </c>
      <c r="B12" s="41" t="s">
        <v>301</v>
      </c>
      <c r="C12" s="31" t="s">
        <v>1465</v>
      </c>
      <c r="F12" s="20"/>
      <c r="I12" s="21" t="s">
        <v>313</v>
      </c>
      <c r="J12" s="21" t="s">
        <v>354</v>
      </c>
      <c r="O12"/>
      <c r="P12"/>
      <c r="Q12" s="37" t="s">
        <v>291</v>
      </c>
      <c r="R12" s="37" t="s">
        <v>355</v>
      </c>
      <c r="S12" s="37" t="s">
        <v>350</v>
      </c>
      <c r="T12" s="37" t="s">
        <v>351</v>
      </c>
      <c r="U12" s="38" t="s">
        <v>352</v>
      </c>
    </row>
    <row r="13" spans="1:21" ht="72" customHeight="1" thickBot="1">
      <c r="A13" s="29" t="s">
        <v>356</v>
      </c>
      <c r="B13" s="26" t="s">
        <v>1606</v>
      </c>
      <c r="C13" s="27" t="s">
        <v>357</v>
      </c>
      <c r="F13" s="20"/>
      <c r="H13" s="21" t="s">
        <v>358</v>
      </c>
      <c r="I13" s="46" t="s">
        <v>1581</v>
      </c>
      <c r="J13" s="47">
        <f>VLOOKUP($I$13,$M$60:$N$68,2,FALSE)</f>
        <v>4</v>
      </c>
      <c r="O13"/>
      <c r="P13"/>
      <c r="Q13" s="37" t="s">
        <v>292</v>
      </c>
      <c r="R13" s="37" t="s">
        <v>359</v>
      </c>
      <c r="S13" s="37" t="s">
        <v>360</v>
      </c>
      <c r="T13" s="37" t="s">
        <v>331</v>
      </c>
      <c r="U13" s="38" t="s">
        <v>361</v>
      </c>
    </row>
    <row r="14" spans="1:21" ht="72" customHeight="1" thickBot="1">
      <c r="A14" s="29" t="s">
        <v>362</v>
      </c>
      <c r="B14" s="48" t="s">
        <v>1583</v>
      </c>
      <c r="C14" s="27" t="s">
        <v>363</v>
      </c>
      <c r="F14" s="20"/>
      <c r="H14" s="21" t="s">
        <v>364</v>
      </c>
      <c r="I14" s="28">
        <v>3</v>
      </c>
      <c r="J14" s="47">
        <f>VLOOKUP($I14,$J$67:$K$72,2,FALSE)</f>
        <v>3</v>
      </c>
      <c r="O14"/>
      <c r="P14"/>
      <c r="Q14" s="37" t="s">
        <v>293</v>
      </c>
      <c r="R14" s="37" t="s">
        <v>365</v>
      </c>
      <c r="S14" s="37" t="s">
        <v>350</v>
      </c>
      <c r="T14" s="37" t="s">
        <v>351</v>
      </c>
      <c r="U14" s="38" t="s">
        <v>366</v>
      </c>
    </row>
    <row r="15" spans="1:21" ht="72" customHeight="1" thickBot="1">
      <c r="A15" s="29" t="s">
        <v>367</v>
      </c>
      <c r="B15" s="50" t="s">
        <v>1603</v>
      </c>
      <c r="C15" s="31" t="s">
        <v>368</v>
      </c>
      <c r="F15" s="20"/>
      <c r="H15" s="51" t="s">
        <v>369</v>
      </c>
      <c r="I15" s="40">
        <f>J33</f>
        <v>99.648533333333333</v>
      </c>
      <c r="J15" s="47">
        <f>LOOKUP($I15,$G$83:$G$87,$H$83:$H$87)</f>
        <v>5</v>
      </c>
      <c r="O15"/>
      <c r="P15"/>
      <c r="Q15" s="37" t="s">
        <v>294</v>
      </c>
      <c r="R15" s="37" t="s">
        <v>359</v>
      </c>
      <c r="S15" s="37" t="s">
        <v>370</v>
      </c>
      <c r="T15" s="37" t="s">
        <v>351</v>
      </c>
      <c r="U15" s="38" t="s">
        <v>352</v>
      </c>
    </row>
    <row r="16" spans="1:21" ht="72" customHeight="1" thickBot="1">
      <c r="A16" s="24" t="s">
        <v>22</v>
      </c>
      <c r="B16" s="52" t="s">
        <v>1619</v>
      </c>
      <c r="C16" s="31" t="s">
        <v>371</v>
      </c>
      <c r="F16" s="20"/>
      <c r="H16" s="21" t="s">
        <v>372</v>
      </c>
      <c r="J16" s="47">
        <f>AVERAGE(J13:J15)</f>
        <v>4</v>
      </c>
      <c r="O16"/>
      <c r="P16"/>
      <c r="Q16" s="37" t="s">
        <v>295</v>
      </c>
      <c r="R16" s="37" t="s">
        <v>373</v>
      </c>
      <c r="S16" s="37" t="s">
        <v>374</v>
      </c>
      <c r="T16" s="37" t="s">
        <v>298</v>
      </c>
      <c r="U16" s="38" t="s">
        <v>325</v>
      </c>
    </row>
    <row r="17" spans="1:21" ht="38.25" customHeight="1" thickBot="1">
      <c r="A17" s="131"/>
      <c r="B17" s="132"/>
      <c r="C17" s="132"/>
      <c r="F17" s="20"/>
      <c r="H17" s="21" t="s">
        <v>375</v>
      </c>
      <c r="I17" s="28" t="s">
        <v>1430</v>
      </c>
      <c r="J17" s="47">
        <f>IF($I$17="Y",1,0)</f>
        <v>1</v>
      </c>
      <c r="Q17" s="37" t="s">
        <v>1552</v>
      </c>
      <c r="R17" s="37" t="s">
        <v>1554</v>
      </c>
      <c r="S17" s="37" t="s">
        <v>1553</v>
      </c>
      <c r="T17" s="37" t="s">
        <v>351</v>
      </c>
      <c r="U17" s="38" t="s">
        <v>352</v>
      </c>
    </row>
    <row r="18" spans="1:21" ht="72" customHeight="1">
      <c r="A18" s="53" t="s">
        <v>376</v>
      </c>
      <c r="B18" s="54">
        <v>46273</v>
      </c>
      <c r="C18" s="49"/>
      <c r="F18" s="20"/>
      <c r="H18" s="21" t="s">
        <v>377</v>
      </c>
      <c r="J18" s="47">
        <f>J16+J17</f>
        <v>5</v>
      </c>
      <c r="Q18" s="94" t="s">
        <v>1555</v>
      </c>
    </row>
    <row r="19" spans="1:21" ht="72" customHeight="1">
      <c r="A19" s="53" t="s">
        <v>378</v>
      </c>
      <c r="B19" s="55"/>
      <c r="C19" s="56"/>
      <c r="F19" s="20"/>
    </row>
    <row r="20" spans="1:21" ht="72" customHeight="1">
      <c r="A20" s="53" t="s">
        <v>379</v>
      </c>
      <c r="B20" s="55"/>
      <c r="C20" s="49"/>
      <c r="F20" s="20"/>
      <c r="H20" s="21" t="s">
        <v>380</v>
      </c>
    </row>
    <row r="21" spans="1:21" ht="39.950000000000003" customHeight="1">
      <c r="A21" s="57"/>
      <c r="F21" s="20"/>
      <c r="H21" s="32"/>
      <c r="I21" s="21" t="s">
        <v>313</v>
      </c>
      <c r="J21" s="32" t="s">
        <v>354</v>
      </c>
      <c r="L21" s="58"/>
    </row>
    <row r="22" spans="1:21">
      <c r="F22" s="20"/>
      <c r="G22" s="21">
        <v>80</v>
      </c>
      <c r="H22" s="21" t="s">
        <v>381</v>
      </c>
      <c r="I22" s="28" t="s">
        <v>1615</v>
      </c>
      <c r="J22" s="47">
        <f>VLOOKUP($I22,$G$37:$I$51,3,FALSE)</f>
        <v>3</v>
      </c>
      <c r="L22" s="58"/>
    </row>
    <row r="23" spans="1:21">
      <c r="G23" s="21">
        <v>20</v>
      </c>
      <c r="H23" s="21" t="s">
        <v>383</v>
      </c>
      <c r="I23" s="28" t="s">
        <v>1431</v>
      </c>
      <c r="J23" s="47">
        <f>IF($I23="Daily",1,999)</f>
        <v>1</v>
      </c>
      <c r="L23" s="58"/>
    </row>
    <row r="24" spans="1:21" ht="39" customHeight="1">
      <c r="F24" s="20"/>
      <c r="H24" s="60" t="s">
        <v>384</v>
      </c>
      <c r="J24" s="47">
        <f>J22*G22/100+J23*G23/100</f>
        <v>2.6</v>
      </c>
      <c r="K24" s="58"/>
      <c r="L24" s="58"/>
    </row>
    <row r="25" spans="1:21" ht="39" customHeight="1">
      <c r="F25" s="20"/>
    </row>
    <row r="26" spans="1:21" ht="39" customHeight="1">
      <c r="F26" s="20"/>
      <c r="J26" s="21" t="s">
        <v>385</v>
      </c>
      <c r="L26" s="21" t="s">
        <v>386</v>
      </c>
    </row>
    <row r="27" spans="1:21" ht="61.5">
      <c r="F27" s="20"/>
      <c r="G27" s="32" t="s">
        <v>387</v>
      </c>
      <c r="H27" s="61" t="s">
        <v>388</v>
      </c>
      <c r="I27" s="61" t="s">
        <v>389</v>
      </c>
      <c r="J27" s="61" t="s">
        <v>390</v>
      </c>
      <c r="K27" s="61" t="s">
        <v>391</v>
      </c>
      <c r="L27" s="51" t="s">
        <v>392</v>
      </c>
    </row>
    <row r="28" spans="1:21">
      <c r="F28" s="20"/>
      <c r="G28" s="21" t="s">
        <v>393</v>
      </c>
      <c r="I28" s="62" t="s">
        <v>1617</v>
      </c>
      <c r="J28" s="40">
        <v>100.9832</v>
      </c>
      <c r="K28" s="40">
        <f>LOOKUP($J28,$G$83:$H$87)</f>
        <v>5</v>
      </c>
      <c r="L28" s="40" t="str">
        <f>IF(RIGHT($I28,2)="UP",VLOOKUP($I28,[1]BBG_data!$B:$H,7,FALSE)/1000,IF(RIGHT($I28,2)="UQ",VLOOKUP($I28,[1]BBG_data!$B:$H,7,FALSE)/1000,"-"))</f>
        <v>-</v>
      </c>
    </row>
    <row r="29" spans="1:21">
      <c r="F29" s="20"/>
      <c r="G29" s="21" t="s">
        <v>394</v>
      </c>
      <c r="I29" s="63" t="s">
        <v>1621</v>
      </c>
      <c r="J29" s="40">
        <v>113.9237</v>
      </c>
      <c r="K29" s="64">
        <f>LOOKUP($J29,$G$83:$H$87)</f>
        <v>5</v>
      </c>
      <c r="L29" s="40" t="str">
        <f>IF(RIGHT($I29,2)="UP",VLOOKUP($I29,[1]BBG_data!$B:$H,7,FALSE)/1000,IF(RIGHT($I29,2)="UQ",VLOOKUP($I29,[1]BBG_data!$B:$H,7,FALSE)/1000,"-"))</f>
        <v>-</v>
      </c>
    </row>
    <row r="30" spans="1:21">
      <c r="F30" s="20"/>
      <c r="G30" s="21" t="s">
        <v>395</v>
      </c>
      <c r="I30" s="63" t="s">
        <v>1622</v>
      </c>
      <c r="J30" s="40">
        <v>84.038700000000006</v>
      </c>
      <c r="K30" s="40">
        <f>LOOKUP($J30,$G$83:$H$87)</f>
        <v>5</v>
      </c>
      <c r="L30" s="40" t="str">
        <f>IF(RIGHT($I30,2)="UP",VLOOKUP($I30,[1]BBG_data!$B:$H,7,FALSE)/1000,IF(RIGHT($I30,2)="UQ",VLOOKUP($I30,[1]BBG_data!$B:$H,7,FALSE)/1000,"-"))</f>
        <v>-</v>
      </c>
    </row>
    <row r="31" spans="1:21">
      <c r="F31" s="20"/>
      <c r="G31" s="21" t="s">
        <v>396</v>
      </c>
      <c r="H31" s="21" t="s">
        <v>397</v>
      </c>
      <c r="I31" s="63" t="s">
        <v>301</v>
      </c>
      <c r="J31" s="40" t="s">
        <v>288</v>
      </c>
      <c r="K31" s="40" t="e">
        <f>LOOKUP($J31,$G$83:$H$87)</f>
        <v>#N/A</v>
      </c>
      <c r="L31" s="40" t="str">
        <f>IF(RIGHT($I31,2)="UP",VLOOKUP($I31,[1]BBG_data!$B:$H,7,FALSE)/1000,IF(RIGHT($I31,2)="UQ",VLOOKUP($I31,[1]BBG_data!$B:$H,7,FALSE)/1000,"-"))</f>
        <v>-</v>
      </c>
    </row>
    <row r="32" spans="1:21">
      <c r="F32" s="20"/>
      <c r="G32" s="21" t="s">
        <v>398</v>
      </c>
      <c r="H32" s="21" t="s">
        <v>397</v>
      </c>
      <c r="I32" s="63" t="s">
        <v>301</v>
      </c>
      <c r="J32" s="40" t="s">
        <v>288</v>
      </c>
      <c r="K32" s="40" t="e">
        <f>LOOKUP($J32,$G$83:$H$87)</f>
        <v>#N/A</v>
      </c>
      <c r="L32" s="40" t="str">
        <f>IF(RIGHT($I32,2)="UP",VLOOKUP($I32,[1]BBG_data!$B:$H,7,FALSE)/1000,IF(RIGHT($I32,2)="UQ",VLOOKUP($I32,[1]BBG_data!$B:$H,7,FALSE)/1000,"-"))</f>
        <v>-</v>
      </c>
    </row>
    <row r="33" spans="4:15">
      <c r="F33" s="20"/>
      <c r="J33" s="65">
        <f>AVERAGE(J28:J32)</f>
        <v>99.648533333333333</v>
      </c>
      <c r="K33" s="40"/>
      <c r="L33" s="40"/>
      <c r="M33" s="40"/>
    </row>
    <row r="34" spans="4:15">
      <c r="F34" s="20"/>
    </row>
    <row r="35" spans="4:15">
      <c r="F35" s="20"/>
      <c r="G35" s="133" t="s">
        <v>399</v>
      </c>
      <c r="H35" s="133" t="s">
        <v>400</v>
      </c>
      <c r="I35" s="133" t="s">
        <v>401</v>
      </c>
      <c r="J35" s="133" t="s">
        <v>402</v>
      </c>
      <c r="K35" s="133"/>
      <c r="L35" s="133" t="s">
        <v>403</v>
      </c>
      <c r="M35" s="133"/>
      <c r="N35" s="133" t="s">
        <v>404</v>
      </c>
      <c r="O35" s="133"/>
    </row>
    <row r="36" spans="4:15">
      <c r="F36" s="20"/>
      <c r="G36" s="133"/>
      <c r="H36" s="133"/>
      <c r="I36" s="133"/>
      <c r="J36" s="21" t="s">
        <v>405</v>
      </c>
      <c r="K36" s="21" t="s">
        <v>406</v>
      </c>
      <c r="L36" s="21" t="s">
        <v>405</v>
      </c>
      <c r="M36" s="21" t="s">
        <v>406</v>
      </c>
      <c r="N36" s="21" t="s">
        <v>405</v>
      </c>
      <c r="O36" s="21" t="s">
        <v>406</v>
      </c>
    </row>
    <row r="37" spans="4:15">
      <c r="F37" s="66" t="s">
        <v>407</v>
      </c>
      <c r="G37" s="21" t="s">
        <v>44</v>
      </c>
      <c r="H37" s="21" t="str">
        <f t="shared" ref="H37:H49" si="1">VLOOKUP(G37,G90:M105,2,FALSE)</f>
        <v>BNP FP Equity</v>
      </c>
      <c r="I37" s="21">
        <f t="shared" ref="I37:I51" si="2">VLOOKUP(H37,H90:M105,2,FALSE)</f>
        <v>3</v>
      </c>
      <c r="J37" s="21" t="str">
        <f t="shared" ref="J37:J49" si="3">VLOOKUP(G37,G90:M105,4,FALSE)</f>
        <v>A+</v>
      </c>
      <c r="K37" s="21">
        <f t="shared" ref="K37:K51" si="4">VLOOKUP(H37,H90:M105,4,FALSE)</f>
        <v>3</v>
      </c>
      <c r="L37" s="21" t="str">
        <f t="shared" ref="L37:L49" si="5">VLOOKUP(G37,G90:M105,6,FALSE)</f>
        <v>AA-</v>
      </c>
      <c r="M37" s="21">
        <f t="shared" ref="M37:M51" si="6">VLOOKUP(H37,H90:M105,6,FALSE)</f>
        <v>3</v>
      </c>
      <c r="N37" s="21" t="str">
        <f>VLOOKUP(G37,G90:O105,8,FALSE)</f>
        <v>A1</v>
      </c>
      <c r="O37" s="21">
        <f>VLOOKUP(H37,H90:P105,8,FALSE)</f>
        <v>3</v>
      </c>
    </row>
    <row r="38" spans="4:15">
      <c r="F38" s="66">
        <v>147</v>
      </c>
      <c r="G38" s="21" t="s">
        <v>56</v>
      </c>
      <c r="H38" s="21" t="str">
        <f t="shared" si="1"/>
        <v>56243Z LN Equity</v>
      </c>
      <c r="I38" s="21">
        <f t="shared" si="2"/>
        <v>2</v>
      </c>
      <c r="J38" s="21" t="str">
        <f t="shared" si="3"/>
        <v>A+</v>
      </c>
      <c r="K38" s="21">
        <f t="shared" si="4"/>
        <v>3</v>
      </c>
      <c r="L38" s="21" t="str">
        <f t="shared" si="5"/>
        <v>AA</v>
      </c>
      <c r="M38" s="21">
        <f t="shared" si="6"/>
        <v>2</v>
      </c>
      <c r="N38" s="21" t="str">
        <f t="shared" ref="N38:O51" si="7">VLOOKUP(G38,G91:O106,8,FALSE)</f>
        <v>Aa3</v>
      </c>
      <c r="O38" s="21">
        <f t="shared" si="7"/>
        <v>3</v>
      </c>
    </row>
    <row r="39" spans="4:15">
      <c r="F39" s="66" t="s">
        <v>408</v>
      </c>
      <c r="G39" s="21" t="s">
        <v>46</v>
      </c>
      <c r="H39" s="21" t="str">
        <f t="shared" si="1"/>
        <v>GLE FP Equity</v>
      </c>
      <c r="I39" s="21">
        <f t="shared" si="2"/>
        <v>3</v>
      </c>
      <c r="J39" s="21" t="str">
        <f t="shared" si="3"/>
        <v>A</v>
      </c>
      <c r="K39" s="21">
        <f t="shared" si="4"/>
        <v>4</v>
      </c>
      <c r="L39" s="21" t="str">
        <f t="shared" si="5"/>
        <v>A+</v>
      </c>
      <c r="M39" s="21">
        <f t="shared" si="6"/>
        <v>3</v>
      </c>
      <c r="N39" s="21" t="str">
        <f t="shared" si="7"/>
        <v>A1</v>
      </c>
      <c r="O39" s="21">
        <f t="shared" si="7"/>
        <v>3</v>
      </c>
    </row>
    <row r="40" spans="4:15">
      <c r="F40" s="66" t="s">
        <v>409</v>
      </c>
      <c r="G40" s="21" t="s">
        <v>42</v>
      </c>
      <c r="H40" s="21" t="str">
        <f t="shared" si="1"/>
        <v>331900Z FP Equity</v>
      </c>
      <c r="I40" s="21">
        <f t="shared" si="2"/>
        <v>3</v>
      </c>
      <c r="J40" s="21" t="str">
        <f t="shared" si="3"/>
        <v>A+</v>
      </c>
      <c r="K40" s="21">
        <f t="shared" si="4"/>
        <v>3</v>
      </c>
      <c r="L40" s="21" t="str">
        <f t="shared" si="5"/>
        <v>AA-</v>
      </c>
      <c r="M40" s="21">
        <f t="shared" si="6"/>
        <v>3</v>
      </c>
      <c r="N40" s="21" t="str">
        <f t="shared" si="7"/>
        <v>A1</v>
      </c>
      <c r="O40" s="21">
        <f t="shared" si="7"/>
        <v>3</v>
      </c>
    </row>
    <row r="41" spans="4:15">
      <c r="F41" s="66" t="s">
        <v>410</v>
      </c>
      <c r="G41" s="21" t="s">
        <v>48</v>
      </c>
      <c r="H41" s="21" t="str">
        <f t="shared" si="1"/>
        <v>UBSN SW Equity</v>
      </c>
      <c r="I41" s="21">
        <f t="shared" si="2"/>
        <v>2</v>
      </c>
      <c r="J41" s="21" t="str">
        <f t="shared" si="3"/>
        <v>A+</v>
      </c>
      <c r="K41" s="21">
        <f t="shared" si="4"/>
        <v>3</v>
      </c>
      <c r="L41" s="21" t="s">
        <v>1566</v>
      </c>
      <c r="M41" s="21">
        <f t="shared" si="6"/>
        <v>2</v>
      </c>
      <c r="N41" s="21" t="str">
        <f t="shared" si="7"/>
        <v>Aa2</v>
      </c>
      <c r="O41" s="21">
        <f t="shared" si="7"/>
        <v>2</v>
      </c>
    </row>
    <row r="42" spans="4:15">
      <c r="F42" s="66">
        <v>328</v>
      </c>
      <c r="G42" s="21" t="s">
        <v>58</v>
      </c>
      <c r="H42" s="21" t="str">
        <f t="shared" si="1"/>
        <v>KN FP Equity</v>
      </c>
      <c r="I42" s="21">
        <f t="shared" si="2"/>
        <v>3</v>
      </c>
      <c r="J42" s="21" t="str">
        <f t="shared" si="3"/>
        <v>A+</v>
      </c>
      <c r="K42" s="21">
        <f t="shared" si="4"/>
        <v>3</v>
      </c>
      <c r="L42" s="21" t="str">
        <f t="shared" si="5"/>
        <v>A+</v>
      </c>
      <c r="M42" s="21">
        <f t="shared" si="6"/>
        <v>3</v>
      </c>
      <c r="N42" s="21" t="str">
        <f t="shared" si="7"/>
        <v>A2</v>
      </c>
      <c r="O42" s="21">
        <f t="shared" si="7"/>
        <v>4</v>
      </c>
    </row>
    <row r="43" spans="4:15">
      <c r="F43" s="66" t="s">
        <v>411</v>
      </c>
      <c r="G43" s="21" t="s">
        <v>54</v>
      </c>
      <c r="H43" s="21" t="str">
        <f t="shared" si="1"/>
        <v>C US Equity</v>
      </c>
      <c r="I43" s="21">
        <f t="shared" si="2"/>
        <v>4</v>
      </c>
      <c r="J43" s="21" t="str">
        <f t="shared" si="3"/>
        <v>BBB+</v>
      </c>
      <c r="K43" s="21">
        <f t="shared" si="4"/>
        <v>5</v>
      </c>
      <c r="L43" s="21" t="str">
        <f t="shared" si="5"/>
        <v>A</v>
      </c>
      <c r="M43" s="21">
        <f t="shared" si="6"/>
        <v>4</v>
      </c>
      <c r="N43" s="21" t="str">
        <f t="shared" si="7"/>
        <v>A3</v>
      </c>
      <c r="O43" s="21">
        <f t="shared" si="7"/>
        <v>4</v>
      </c>
    </row>
    <row r="44" spans="4:15">
      <c r="F44" s="66">
        <v>156</v>
      </c>
      <c r="G44" s="21" t="s">
        <v>50</v>
      </c>
      <c r="H44" s="21" t="str">
        <f t="shared" si="1"/>
        <v>8604 JP Equity</v>
      </c>
      <c r="I44" s="21">
        <f t="shared" si="2"/>
        <v>4</v>
      </c>
      <c r="J44" s="21" t="str">
        <f t="shared" si="3"/>
        <v>BBB+</v>
      </c>
      <c r="K44" s="21">
        <f t="shared" si="4"/>
        <v>5</v>
      </c>
      <c r="L44" s="21" t="str">
        <f t="shared" si="5"/>
        <v>A-</v>
      </c>
      <c r="M44" s="21">
        <f t="shared" si="6"/>
        <v>4</v>
      </c>
      <c r="N44" s="21" t="str">
        <f t="shared" si="7"/>
        <v>Baa1</v>
      </c>
      <c r="O44" s="21">
        <f t="shared" si="7"/>
        <v>5</v>
      </c>
    </row>
    <row r="45" spans="4:15">
      <c r="D45" s="21"/>
      <c r="F45" s="66" t="s">
        <v>412</v>
      </c>
      <c r="G45" s="21" t="s">
        <v>382</v>
      </c>
      <c r="H45" s="21" t="str">
        <f t="shared" si="1"/>
        <v>8376923Z LN Equity</v>
      </c>
      <c r="I45" s="21">
        <f t="shared" si="2"/>
        <v>3</v>
      </c>
      <c r="J45" s="21" t="str">
        <f t="shared" si="3"/>
        <v>A+</v>
      </c>
      <c r="K45" s="21">
        <f t="shared" si="4"/>
        <v>3</v>
      </c>
      <c r="L45" s="21" t="str">
        <f t="shared" si="5"/>
        <v>AA-</v>
      </c>
      <c r="M45" s="21">
        <f t="shared" si="6"/>
        <v>3</v>
      </c>
      <c r="N45" s="21" t="str">
        <f t="shared" si="7"/>
        <v>A1</v>
      </c>
      <c r="O45" s="21">
        <f t="shared" si="7"/>
        <v>3</v>
      </c>
    </row>
    <row r="46" spans="4:15">
      <c r="F46" s="66" t="s">
        <v>413</v>
      </c>
      <c r="G46" s="21" t="s">
        <v>62</v>
      </c>
      <c r="H46" s="21" t="str">
        <f t="shared" si="1"/>
        <v>GS US Equity</v>
      </c>
      <c r="I46" s="21">
        <f t="shared" si="2"/>
        <v>4</v>
      </c>
      <c r="J46" s="21" t="str">
        <f t="shared" si="3"/>
        <v>BBB+</v>
      </c>
      <c r="K46" s="21">
        <f t="shared" si="4"/>
        <v>5</v>
      </c>
      <c r="L46" s="21" t="str">
        <f t="shared" si="5"/>
        <v>A</v>
      </c>
      <c r="M46" s="21">
        <f t="shared" si="6"/>
        <v>4</v>
      </c>
      <c r="N46" s="21" t="str">
        <f t="shared" si="7"/>
        <v>A2</v>
      </c>
      <c r="O46" s="21">
        <f t="shared" si="7"/>
        <v>4</v>
      </c>
    </row>
    <row r="47" spans="4:15">
      <c r="F47" s="66" t="s">
        <v>414</v>
      </c>
      <c r="G47" s="21" t="s">
        <v>60</v>
      </c>
      <c r="H47" s="21" t="str">
        <f t="shared" si="1"/>
        <v>8147Z US Equity</v>
      </c>
      <c r="I47" s="21">
        <f t="shared" si="2"/>
        <v>2</v>
      </c>
      <c r="J47" s="21" t="str">
        <f t="shared" si="3"/>
        <v>AA-</v>
      </c>
      <c r="K47" s="21">
        <f t="shared" si="4"/>
        <v>3</v>
      </c>
      <c r="L47" s="21" t="str">
        <f t="shared" si="5"/>
        <v>AA</v>
      </c>
      <c r="M47" s="21">
        <f t="shared" si="6"/>
        <v>2</v>
      </c>
      <c r="N47" s="21" t="str">
        <f t="shared" si="7"/>
        <v>Aa2</v>
      </c>
      <c r="O47" s="21">
        <f t="shared" si="7"/>
        <v>2</v>
      </c>
    </row>
    <row r="48" spans="4:15">
      <c r="F48" s="66" t="s">
        <v>415</v>
      </c>
      <c r="G48" s="21" t="s">
        <v>64</v>
      </c>
      <c r="H48" s="21" t="str">
        <f t="shared" si="1"/>
        <v>HSBCZ HK Equity</v>
      </c>
      <c r="I48" s="21">
        <f t="shared" si="2"/>
        <v>2</v>
      </c>
      <c r="J48" s="21" t="str">
        <f t="shared" si="3"/>
        <v>AA-</v>
      </c>
      <c r="K48" s="21">
        <f t="shared" si="4"/>
        <v>3</v>
      </c>
      <c r="L48" s="21" t="str">
        <f t="shared" si="5"/>
        <v>AA</v>
      </c>
      <c r="M48" s="21">
        <f t="shared" si="6"/>
        <v>2</v>
      </c>
      <c r="N48" s="21" t="str">
        <f t="shared" si="7"/>
        <v>Aa3</v>
      </c>
      <c r="O48" s="21">
        <f t="shared" si="7"/>
        <v>3</v>
      </c>
    </row>
    <row r="49" spans="6:15">
      <c r="F49" s="66" t="s">
        <v>416</v>
      </c>
      <c r="G49" s="21" t="s">
        <v>417</v>
      </c>
      <c r="H49" s="21" t="str">
        <f t="shared" si="1"/>
        <v>2257Z LN</v>
      </c>
      <c r="I49" s="21">
        <f t="shared" si="2"/>
        <v>3</v>
      </c>
      <c r="J49" s="21" t="str">
        <f t="shared" si="3"/>
        <v>A+</v>
      </c>
      <c r="K49" s="21">
        <f t="shared" si="4"/>
        <v>3</v>
      </c>
      <c r="L49" s="21" t="str">
        <f t="shared" si="5"/>
        <v>AA-</v>
      </c>
      <c r="M49" s="21">
        <f t="shared" si="6"/>
        <v>3</v>
      </c>
      <c r="N49" s="21" t="str">
        <f t="shared" si="7"/>
        <v>A1</v>
      </c>
      <c r="O49" s="21">
        <f t="shared" si="7"/>
        <v>3</v>
      </c>
    </row>
    <row r="50" spans="6:15">
      <c r="F50" s="66" t="s">
        <v>1564</v>
      </c>
      <c r="G50" s="21" t="s">
        <v>1559</v>
      </c>
      <c r="H50" s="21" t="s">
        <v>1561</v>
      </c>
      <c r="I50" s="21">
        <f t="shared" si="2"/>
        <v>3</v>
      </c>
      <c r="J50" s="21" t="s">
        <v>469</v>
      </c>
      <c r="K50" s="21">
        <f t="shared" si="4"/>
        <v>3</v>
      </c>
      <c r="L50" s="21" t="s">
        <v>430</v>
      </c>
      <c r="M50" s="21">
        <f t="shared" si="6"/>
        <v>4</v>
      </c>
      <c r="N50" s="21" t="s">
        <v>457</v>
      </c>
      <c r="O50" s="21">
        <f t="shared" si="7"/>
        <v>4</v>
      </c>
    </row>
    <row r="51" spans="6:15">
      <c r="F51" s="97" t="s">
        <v>1595</v>
      </c>
      <c r="G51" s="98" t="s">
        <v>1588</v>
      </c>
      <c r="H51" s="98" t="s">
        <v>1592</v>
      </c>
      <c r="I51" s="98">
        <f t="shared" si="2"/>
        <v>2</v>
      </c>
      <c r="J51" s="98" t="s">
        <v>425</v>
      </c>
      <c r="K51" s="98">
        <f t="shared" si="4"/>
        <v>3</v>
      </c>
      <c r="L51" s="98" t="s">
        <v>425</v>
      </c>
      <c r="M51" s="98">
        <f t="shared" si="6"/>
        <v>3</v>
      </c>
      <c r="N51" s="98" t="s">
        <v>1594</v>
      </c>
      <c r="O51" s="98">
        <f t="shared" si="7"/>
        <v>2</v>
      </c>
    </row>
    <row r="52" spans="6:15">
      <c r="G52" s="32" t="s">
        <v>405</v>
      </c>
      <c r="H52" s="32" t="s">
        <v>418</v>
      </c>
      <c r="I52" s="32"/>
      <c r="J52" s="32" t="s">
        <v>419</v>
      </c>
      <c r="K52" s="32" t="s">
        <v>418</v>
      </c>
      <c r="L52" s="32"/>
      <c r="M52" s="32" t="s">
        <v>70</v>
      </c>
      <c r="N52" s="67" t="s">
        <v>418</v>
      </c>
    </row>
    <row r="53" spans="6:15">
      <c r="G53" s="21" t="s">
        <v>420</v>
      </c>
      <c r="H53" s="21">
        <v>1</v>
      </c>
      <c r="J53" s="21">
        <v>100</v>
      </c>
      <c r="K53" s="21">
        <v>1</v>
      </c>
      <c r="M53" s="21" t="s">
        <v>421</v>
      </c>
      <c r="N53" s="22">
        <v>1</v>
      </c>
    </row>
    <row r="54" spans="6:15">
      <c r="G54" s="21" t="s">
        <v>422</v>
      </c>
      <c r="H54" s="21">
        <v>2</v>
      </c>
      <c r="J54" s="21">
        <v>90</v>
      </c>
      <c r="K54" s="21">
        <v>2</v>
      </c>
      <c r="M54" s="21" t="s">
        <v>423</v>
      </c>
      <c r="N54" s="22">
        <v>2</v>
      </c>
    </row>
    <row r="55" spans="6:15">
      <c r="G55" s="21" t="s">
        <v>279</v>
      </c>
      <c r="H55" s="21">
        <v>2</v>
      </c>
      <c r="J55" s="21">
        <v>80</v>
      </c>
      <c r="K55" s="21">
        <v>3</v>
      </c>
      <c r="M55" s="21" t="s">
        <v>424</v>
      </c>
      <c r="N55" s="22">
        <v>3</v>
      </c>
    </row>
    <row r="56" spans="6:15">
      <c r="G56" s="21" t="s">
        <v>425</v>
      </c>
      <c r="H56" s="21">
        <v>3</v>
      </c>
      <c r="J56" s="21">
        <v>70</v>
      </c>
      <c r="K56" s="21">
        <v>4</v>
      </c>
      <c r="M56" s="21" t="s">
        <v>426</v>
      </c>
      <c r="N56" s="22">
        <v>4</v>
      </c>
    </row>
    <row r="57" spans="6:15">
      <c r="G57" s="21" t="s">
        <v>427</v>
      </c>
      <c r="H57" s="21">
        <v>3</v>
      </c>
      <c r="J57" s="21" t="s">
        <v>428</v>
      </c>
      <c r="K57" s="21">
        <v>5</v>
      </c>
      <c r="M57" s="21" t="s">
        <v>429</v>
      </c>
      <c r="N57" s="22">
        <v>5</v>
      </c>
    </row>
    <row r="58" spans="6:15">
      <c r="G58" s="21" t="s">
        <v>430</v>
      </c>
      <c r="H58" s="21">
        <v>4</v>
      </c>
      <c r="N58" s="22"/>
    </row>
    <row r="59" spans="6:15">
      <c r="G59" s="21" t="s">
        <v>431</v>
      </c>
      <c r="H59" s="21">
        <v>4</v>
      </c>
      <c r="J59" s="32" t="s">
        <v>432</v>
      </c>
      <c r="K59" s="32" t="s">
        <v>433</v>
      </c>
      <c r="M59" s="32" t="s">
        <v>434</v>
      </c>
      <c r="N59" s="67" t="s">
        <v>418</v>
      </c>
    </row>
    <row r="60" spans="6:15">
      <c r="G60" s="21" t="s">
        <v>435</v>
      </c>
      <c r="H60" s="21">
        <v>5</v>
      </c>
      <c r="I60" s="21">
        <v>1</v>
      </c>
      <c r="J60" s="21" t="s">
        <v>436</v>
      </c>
      <c r="K60" s="21" t="s">
        <v>437</v>
      </c>
      <c r="M60" s="21" t="s">
        <v>438</v>
      </c>
      <c r="N60" s="22">
        <v>1</v>
      </c>
    </row>
    <row r="61" spans="6:15">
      <c r="G61" s="21" t="s">
        <v>439</v>
      </c>
      <c r="H61" s="21">
        <v>1</v>
      </c>
      <c r="I61" s="21">
        <v>1.8</v>
      </c>
      <c r="J61" s="21" t="s">
        <v>440</v>
      </c>
      <c r="K61" s="21" t="s">
        <v>441</v>
      </c>
      <c r="M61" s="21" t="s">
        <v>442</v>
      </c>
      <c r="N61" s="22">
        <v>2</v>
      </c>
    </row>
    <row r="62" spans="6:15">
      <c r="G62" s="21" t="s">
        <v>443</v>
      </c>
      <c r="H62" s="21">
        <v>2</v>
      </c>
      <c r="I62" s="21">
        <v>2.6</v>
      </c>
      <c r="J62" s="21" t="s">
        <v>444</v>
      </c>
      <c r="K62" s="21" t="s">
        <v>445</v>
      </c>
      <c r="M62" s="21" t="s">
        <v>446</v>
      </c>
      <c r="N62" s="22">
        <v>2</v>
      </c>
    </row>
    <row r="63" spans="6:15">
      <c r="G63" s="21" t="s">
        <v>447</v>
      </c>
      <c r="H63" s="21">
        <v>2</v>
      </c>
      <c r="I63" s="21">
        <v>3.4000000000000004</v>
      </c>
      <c r="J63" s="21" t="s">
        <v>448</v>
      </c>
      <c r="K63" s="21" t="s">
        <v>449</v>
      </c>
      <c r="M63" s="21" t="s">
        <v>450</v>
      </c>
      <c r="N63" s="22">
        <v>3</v>
      </c>
    </row>
    <row r="64" spans="6:15">
      <c r="G64" s="21" t="s">
        <v>451</v>
      </c>
      <c r="H64" s="21">
        <v>3</v>
      </c>
      <c r="I64" s="21">
        <v>4.2</v>
      </c>
      <c r="J64" s="21" t="s">
        <v>452</v>
      </c>
      <c r="K64" s="21" t="s">
        <v>453</v>
      </c>
      <c r="M64" s="21" t="s">
        <v>454</v>
      </c>
      <c r="N64" s="22">
        <v>3</v>
      </c>
    </row>
    <row r="65" spans="7:14">
      <c r="G65" s="21" t="s">
        <v>455</v>
      </c>
      <c r="H65" s="21">
        <v>3</v>
      </c>
      <c r="M65" s="21" t="s">
        <v>456</v>
      </c>
      <c r="N65" s="22">
        <v>4</v>
      </c>
    </row>
    <row r="66" spans="7:14">
      <c r="G66" s="21" t="s">
        <v>457</v>
      </c>
      <c r="H66" s="21">
        <v>4</v>
      </c>
      <c r="J66" s="32" t="s">
        <v>458</v>
      </c>
      <c r="K66" s="32"/>
      <c r="M66" s="21" t="s">
        <v>459</v>
      </c>
      <c r="N66" s="22">
        <v>5</v>
      </c>
    </row>
    <row r="67" spans="7:14">
      <c r="G67" s="21" t="s">
        <v>460</v>
      </c>
      <c r="H67" s="21">
        <v>4</v>
      </c>
      <c r="J67" s="21">
        <v>1</v>
      </c>
      <c r="K67" s="21">
        <v>1</v>
      </c>
      <c r="M67" s="21" t="s">
        <v>461</v>
      </c>
      <c r="N67" s="22">
        <v>5</v>
      </c>
    </row>
    <row r="68" spans="7:14">
      <c r="G68" s="21" t="s">
        <v>462</v>
      </c>
      <c r="H68" s="21">
        <v>5</v>
      </c>
      <c r="J68" s="21">
        <v>2</v>
      </c>
      <c r="K68" s="21">
        <v>2</v>
      </c>
      <c r="M68" s="21" t="s">
        <v>463</v>
      </c>
      <c r="N68" s="22">
        <v>5</v>
      </c>
    </row>
    <row r="69" spans="7:14">
      <c r="J69" s="21">
        <v>3</v>
      </c>
      <c r="K69" s="21">
        <v>3</v>
      </c>
    </row>
    <row r="70" spans="7:14">
      <c r="J70" s="21">
        <v>4</v>
      </c>
      <c r="K70" s="21">
        <v>4</v>
      </c>
    </row>
    <row r="71" spans="7:14">
      <c r="J71" s="21">
        <v>5</v>
      </c>
      <c r="K71" s="21">
        <v>4</v>
      </c>
    </row>
    <row r="72" spans="7:14">
      <c r="J72" s="21" t="s">
        <v>464</v>
      </c>
      <c r="K72" s="21">
        <v>5</v>
      </c>
    </row>
    <row r="74" spans="7:14">
      <c r="G74" s="21" t="s">
        <v>465</v>
      </c>
      <c r="H74" s="21" t="s">
        <v>418</v>
      </c>
    </row>
    <row r="75" spans="7:14">
      <c r="G75" s="68">
        <v>0</v>
      </c>
      <c r="H75" s="21">
        <v>100</v>
      </c>
    </row>
    <row r="76" spans="7:14">
      <c r="G76" s="68">
        <v>12.000000099999999</v>
      </c>
      <c r="H76" s="21">
        <v>100</v>
      </c>
      <c r="J76" s="69"/>
      <c r="K76" s="40"/>
      <c r="L76" s="40"/>
    </row>
    <row r="77" spans="7:14">
      <c r="G77" s="68">
        <v>36.000000100000001</v>
      </c>
      <c r="H77" s="21">
        <v>80</v>
      </c>
      <c r="K77" s="40"/>
      <c r="L77" s="40"/>
    </row>
    <row r="78" spans="7:14">
      <c r="G78" s="68">
        <v>60.000000100000001</v>
      </c>
      <c r="H78" s="21">
        <v>60</v>
      </c>
      <c r="K78" s="40"/>
      <c r="L78" s="40"/>
    </row>
    <row r="79" spans="7:14">
      <c r="G79" s="68">
        <v>120</v>
      </c>
      <c r="H79" s="21">
        <v>40</v>
      </c>
      <c r="K79" s="40"/>
      <c r="L79" s="40"/>
    </row>
    <row r="80" spans="7:14">
      <c r="G80" s="68">
        <v>999</v>
      </c>
      <c r="H80" s="21">
        <v>20</v>
      </c>
      <c r="K80" s="40"/>
      <c r="L80" s="40"/>
    </row>
    <row r="81" spans="5:18">
      <c r="K81" s="40"/>
      <c r="L81" s="40"/>
    </row>
    <row r="82" spans="5:18">
      <c r="G82" s="21" t="s">
        <v>466</v>
      </c>
      <c r="H82" s="21" t="s">
        <v>418</v>
      </c>
      <c r="K82" s="40"/>
      <c r="L82" s="40"/>
    </row>
    <row r="83" spans="5:18">
      <c r="G83" s="68">
        <v>0</v>
      </c>
      <c r="H83" s="21">
        <v>1</v>
      </c>
      <c r="K83" s="40"/>
      <c r="L83" s="40"/>
    </row>
    <row r="84" spans="5:18">
      <c r="G84" s="68">
        <v>15.000000099999999</v>
      </c>
      <c r="H84" s="21">
        <v>2</v>
      </c>
      <c r="K84" s="40"/>
      <c r="L84" s="40"/>
    </row>
    <row r="85" spans="5:18">
      <c r="G85" s="68">
        <v>30.000000100000001</v>
      </c>
      <c r="H85" s="21">
        <v>3</v>
      </c>
      <c r="K85" s="40"/>
      <c r="L85" s="40"/>
    </row>
    <row r="86" spans="5:18">
      <c r="G86" s="68">
        <v>45.000000100000001</v>
      </c>
      <c r="H86" s="21">
        <v>4</v>
      </c>
      <c r="K86" s="40"/>
      <c r="L86" s="40"/>
    </row>
    <row r="87" spans="5:18">
      <c r="G87" s="68">
        <v>60</v>
      </c>
      <c r="H87" s="21">
        <v>5</v>
      </c>
      <c r="I87" s="21" t="s">
        <v>467</v>
      </c>
      <c r="K87" s="40"/>
      <c r="L87" s="40"/>
    </row>
    <row r="88" spans="5:18">
      <c r="K88" s="40"/>
      <c r="L88" s="40"/>
    </row>
    <row r="89" spans="5:18">
      <c r="K89" s="40"/>
      <c r="L89" s="40"/>
    </row>
    <row r="90" spans="5:18">
      <c r="E90" s="70"/>
      <c r="F90" s="70"/>
      <c r="G90" s="134" t="s">
        <v>399</v>
      </c>
      <c r="H90" s="134" t="s">
        <v>400</v>
      </c>
      <c r="I90" s="134" t="s">
        <v>401</v>
      </c>
      <c r="J90" s="134" t="s">
        <v>402</v>
      </c>
      <c r="K90" s="134"/>
      <c r="L90" s="134" t="s">
        <v>403</v>
      </c>
      <c r="M90" s="134"/>
      <c r="N90" s="134" t="s">
        <v>404</v>
      </c>
      <c r="O90" s="134"/>
      <c r="P90" s="70"/>
      <c r="Q90" s="71"/>
      <c r="R90" s="71"/>
    </row>
    <row r="91" spans="5:18">
      <c r="E91" s="70"/>
      <c r="F91" s="70"/>
      <c r="G91" s="134"/>
      <c r="H91" s="134"/>
      <c r="I91" s="134"/>
      <c r="J91" s="72" t="s">
        <v>405</v>
      </c>
      <c r="K91" s="72" t="s">
        <v>406</v>
      </c>
      <c r="L91" s="72" t="s">
        <v>405</v>
      </c>
      <c r="M91" s="72" t="s">
        <v>406</v>
      </c>
      <c r="N91" s="72" t="s">
        <v>405</v>
      </c>
      <c r="O91" s="72" t="s">
        <v>406</v>
      </c>
      <c r="P91" s="70"/>
      <c r="Q91" s="71"/>
      <c r="R91" s="71"/>
    </row>
    <row r="92" spans="5:18">
      <c r="E92" s="70"/>
      <c r="F92" s="73" t="s">
        <v>407</v>
      </c>
      <c r="G92" s="72" t="s">
        <v>44</v>
      </c>
      <c r="H92" s="72" t="s">
        <v>468</v>
      </c>
      <c r="I92" s="72">
        <f>MIN(K92,M92,O92)</f>
        <v>3</v>
      </c>
      <c r="J92" s="72" t="s">
        <v>469</v>
      </c>
      <c r="K92" s="72">
        <f>VLOOKUP(J92,$G$53:$H$68,2,FALSE)</f>
        <v>3</v>
      </c>
      <c r="L92" s="72" t="s">
        <v>425</v>
      </c>
      <c r="M92" s="72">
        <f t="shared" ref="M92:M107" si="8">VLOOKUP(L92,$G$53:$H$68,2,FALSE)</f>
        <v>3</v>
      </c>
      <c r="N92" s="99" t="s">
        <v>470</v>
      </c>
      <c r="O92" s="72">
        <f t="shared" ref="O92:O99" si="9">VLOOKUP(N92,$G$53:$H$68,2,FALSE)</f>
        <v>3</v>
      </c>
      <c r="P92" s="70"/>
      <c r="Q92" s="71" t="s">
        <v>471</v>
      </c>
      <c r="R92" s="71"/>
    </row>
    <row r="93" spans="5:18">
      <c r="E93" s="70"/>
      <c r="F93" s="73">
        <v>147</v>
      </c>
      <c r="G93" s="72" t="s">
        <v>56</v>
      </c>
      <c r="H93" s="75" t="s">
        <v>472</v>
      </c>
      <c r="I93" s="72">
        <f t="shared" ref="I93:I107" si="10">MIN(K93,M93,O93)</f>
        <v>2</v>
      </c>
      <c r="J93" s="72" t="s">
        <v>469</v>
      </c>
      <c r="K93" s="72">
        <f t="shared" ref="K93:K98" si="11">VLOOKUP(J93,$G$53:$H$68,2,FALSE)</f>
        <v>3</v>
      </c>
      <c r="L93" s="74" t="s">
        <v>1598</v>
      </c>
      <c r="M93" s="72">
        <f t="shared" si="8"/>
        <v>2</v>
      </c>
      <c r="N93" s="99" t="s">
        <v>451</v>
      </c>
      <c r="O93" s="72">
        <f t="shared" si="9"/>
        <v>3</v>
      </c>
      <c r="P93" s="70"/>
      <c r="Q93" s="71" t="s">
        <v>473</v>
      </c>
      <c r="R93" s="71"/>
    </row>
    <row r="94" spans="5:18">
      <c r="E94" s="76"/>
      <c r="F94" s="77"/>
      <c r="G94" s="78" t="s">
        <v>474</v>
      </c>
      <c r="H94" s="78" t="s">
        <v>475</v>
      </c>
      <c r="I94" s="78">
        <f t="shared" si="10"/>
        <v>2</v>
      </c>
      <c r="J94" s="78" t="s">
        <v>469</v>
      </c>
      <c r="K94" s="78">
        <f t="shared" si="11"/>
        <v>3</v>
      </c>
      <c r="L94" s="78" t="s">
        <v>469</v>
      </c>
      <c r="M94" s="78">
        <f t="shared" si="8"/>
        <v>3</v>
      </c>
      <c r="N94" s="100" t="s">
        <v>447</v>
      </c>
      <c r="O94" s="78">
        <f t="shared" si="9"/>
        <v>2</v>
      </c>
      <c r="P94" s="76"/>
      <c r="Q94" s="79" t="s">
        <v>476</v>
      </c>
      <c r="R94" s="79"/>
    </row>
    <row r="95" spans="5:18">
      <c r="E95" s="70"/>
      <c r="F95" s="73" t="s">
        <v>408</v>
      </c>
      <c r="G95" s="72" t="s">
        <v>46</v>
      </c>
      <c r="H95" s="72" t="s">
        <v>477</v>
      </c>
      <c r="I95" s="72">
        <f t="shared" si="10"/>
        <v>3</v>
      </c>
      <c r="J95" s="72" t="s">
        <v>1601</v>
      </c>
      <c r="K95" s="72">
        <f t="shared" si="11"/>
        <v>4</v>
      </c>
      <c r="L95" s="74" t="s">
        <v>1597</v>
      </c>
      <c r="M95" s="72">
        <f t="shared" si="8"/>
        <v>3</v>
      </c>
      <c r="N95" s="99" t="s">
        <v>455</v>
      </c>
      <c r="O95" s="72">
        <f t="shared" si="9"/>
        <v>3</v>
      </c>
      <c r="P95" s="70"/>
      <c r="Q95" s="71" t="s">
        <v>478</v>
      </c>
      <c r="R95" s="71"/>
    </row>
    <row r="96" spans="5:18">
      <c r="E96" s="70"/>
      <c r="F96" s="73" t="s">
        <v>409</v>
      </c>
      <c r="G96" s="72" t="s">
        <v>42</v>
      </c>
      <c r="H96" s="72" t="s">
        <v>479</v>
      </c>
      <c r="I96" s="72">
        <f t="shared" si="10"/>
        <v>3</v>
      </c>
      <c r="J96" s="72" t="s">
        <v>469</v>
      </c>
      <c r="K96" s="72">
        <f t="shared" si="11"/>
        <v>3</v>
      </c>
      <c r="L96" s="72" t="s">
        <v>425</v>
      </c>
      <c r="M96" s="72">
        <f t="shared" si="8"/>
        <v>3</v>
      </c>
      <c r="N96" s="99" t="s">
        <v>470</v>
      </c>
      <c r="O96" s="72">
        <f t="shared" si="9"/>
        <v>3</v>
      </c>
      <c r="P96" s="70"/>
      <c r="Q96" s="71" t="s">
        <v>480</v>
      </c>
      <c r="R96" s="71"/>
    </row>
    <row r="97" spans="5:18">
      <c r="E97" s="70" t="s">
        <v>481</v>
      </c>
      <c r="F97" s="73" t="s">
        <v>410</v>
      </c>
      <c r="G97" s="72" t="s">
        <v>48</v>
      </c>
      <c r="H97" s="72" t="s">
        <v>482</v>
      </c>
      <c r="I97" s="72">
        <f t="shared" si="10"/>
        <v>2</v>
      </c>
      <c r="J97" s="72" t="s">
        <v>469</v>
      </c>
      <c r="K97" s="72">
        <f t="shared" si="11"/>
        <v>3</v>
      </c>
      <c r="L97" s="74" t="s">
        <v>1598</v>
      </c>
      <c r="M97" s="72">
        <f t="shared" si="8"/>
        <v>2</v>
      </c>
      <c r="N97" s="99" t="s">
        <v>447</v>
      </c>
      <c r="O97" s="72">
        <f t="shared" si="9"/>
        <v>2</v>
      </c>
      <c r="P97" s="70"/>
      <c r="Q97" s="71" t="s">
        <v>481</v>
      </c>
      <c r="R97" s="71"/>
    </row>
    <row r="98" spans="5:18">
      <c r="E98" s="70"/>
      <c r="F98" s="95" t="s">
        <v>1600</v>
      </c>
      <c r="G98" s="72" t="s">
        <v>58</v>
      </c>
      <c r="H98" s="72" t="s">
        <v>483</v>
      </c>
      <c r="I98" s="72">
        <f t="shared" si="10"/>
        <v>3</v>
      </c>
      <c r="J98" s="99" t="s">
        <v>469</v>
      </c>
      <c r="K98" s="72">
        <f t="shared" si="11"/>
        <v>3</v>
      </c>
      <c r="L98" s="72" t="s">
        <v>469</v>
      </c>
      <c r="M98" s="72">
        <f t="shared" si="8"/>
        <v>3</v>
      </c>
      <c r="N98" s="72" t="s">
        <v>1563</v>
      </c>
      <c r="O98" s="72">
        <f t="shared" si="9"/>
        <v>4</v>
      </c>
      <c r="P98" s="70"/>
      <c r="Q98" s="71" t="s">
        <v>484</v>
      </c>
      <c r="R98" s="71"/>
    </row>
    <row r="99" spans="5:18">
      <c r="E99" s="70"/>
      <c r="F99" s="73" t="s">
        <v>411</v>
      </c>
      <c r="G99" s="72" t="s">
        <v>54</v>
      </c>
      <c r="H99" s="72" t="s">
        <v>485</v>
      </c>
      <c r="I99" s="72">
        <f t="shared" si="10"/>
        <v>4</v>
      </c>
      <c r="J99" s="72" t="s">
        <v>486</v>
      </c>
      <c r="K99" s="72">
        <v>5</v>
      </c>
      <c r="L99" s="72" t="s">
        <v>430</v>
      </c>
      <c r="M99" s="72">
        <f t="shared" si="8"/>
        <v>4</v>
      </c>
      <c r="N99" s="72" t="s">
        <v>460</v>
      </c>
      <c r="O99" s="72">
        <f t="shared" si="9"/>
        <v>4</v>
      </c>
      <c r="P99" s="70"/>
      <c r="Q99" s="71" t="s">
        <v>487</v>
      </c>
      <c r="R99" s="71"/>
    </row>
    <row r="100" spans="5:18">
      <c r="E100" s="70"/>
      <c r="F100" s="95" t="s">
        <v>1599</v>
      </c>
      <c r="G100" s="72" t="s">
        <v>50</v>
      </c>
      <c r="H100" s="72" t="s">
        <v>488</v>
      </c>
      <c r="I100" s="72">
        <f t="shared" si="10"/>
        <v>4</v>
      </c>
      <c r="J100" s="72" t="s">
        <v>486</v>
      </c>
      <c r="K100" s="72">
        <v>5</v>
      </c>
      <c r="L100" s="72" t="s">
        <v>431</v>
      </c>
      <c r="M100" s="72">
        <f t="shared" si="8"/>
        <v>4</v>
      </c>
      <c r="N100" s="72" t="s">
        <v>489</v>
      </c>
      <c r="O100" s="72">
        <v>5</v>
      </c>
      <c r="P100" s="70"/>
      <c r="Q100" s="71" t="s">
        <v>490</v>
      </c>
      <c r="R100" s="71"/>
    </row>
    <row r="101" spans="5:18">
      <c r="E101" s="70" t="s">
        <v>491</v>
      </c>
      <c r="F101" s="73" t="s">
        <v>412</v>
      </c>
      <c r="G101" s="72" t="s">
        <v>382</v>
      </c>
      <c r="H101" s="72" t="s">
        <v>492</v>
      </c>
      <c r="I101" s="72">
        <f t="shared" si="10"/>
        <v>3</v>
      </c>
      <c r="J101" s="72" t="s">
        <v>469</v>
      </c>
      <c r="K101" s="72">
        <f t="shared" ref="K101" si="12">VLOOKUP(J101,$G$53:$H$68,2,FALSE)</f>
        <v>3</v>
      </c>
      <c r="L101" s="74" t="s">
        <v>1566</v>
      </c>
      <c r="M101" s="72">
        <f t="shared" si="8"/>
        <v>3</v>
      </c>
      <c r="N101" s="72" t="s">
        <v>455</v>
      </c>
      <c r="O101" s="72">
        <f t="shared" ref="O101:O107" si="13">VLOOKUP(N101,$G$53:$H$68,2,FALSE)</f>
        <v>3</v>
      </c>
      <c r="P101" s="70"/>
      <c r="Q101" s="71" t="s">
        <v>491</v>
      </c>
      <c r="R101" s="71"/>
    </row>
    <row r="102" spans="5:18">
      <c r="E102" s="70"/>
      <c r="F102" s="73" t="s">
        <v>413</v>
      </c>
      <c r="G102" s="72" t="s">
        <v>62</v>
      </c>
      <c r="H102" s="72" t="s">
        <v>493</v>
      </c>
      <c r="I102" s="72">
        <f t="shared" si="10"/>
        <v>4</v>
      </c>
      <c r="J102" s="72" t="s">
        <v>486</v>
      </c>
      <c r="K102" s="72">
        <v>5</v>
      </c>
      <c r="L102" s="72" t="s">
        <v>430</v>
      </c>
      <c r="M102" s="72">
        <f t="shared" si="8"/>
        <v>4</v>
      </c>
      <c r="N102" s="72" t="s">
        <v>457</v>
      </c>
      <c r="O102" s="72">
        <f t="shared" si="13"/>
        <v>4</v>
      </c>
      <c r="P102" s="70"/>
      <c r="Q102" s="71" t="s">
        <v>494</v>
      </c>
      <c r="R102" s="71"/>
    </row>
    <row r="103" spans="5:18">
      <c r="E103" s="70"/>
      <c r="F103" s="73" t="s">
        <v>414</v>
      </c>
      <c r="G103" s="72" t="s">
        <v>60</v>
      </c>
      <c r="H103" s="72" t="s">
        <v>495</v>
      </c>
      <c r="I103" s="72">
        <f t="shared" si="10"/>
        <v>2</v>
      </c>
      <c r="J103" s="72" t="s">
        <v>496</v>
      </c>
      <c r="K103" s="72">
        <f t="shared" ref="K103:K107" si="14">VLOOKUP(J103,$G$53:$H$68,2,FALSE)</f>
        <v>3</v>
      </c>
      <c r="L103" s="72" t="s">
        <v>497</v>
      </c>
      <c r="M103" s="72">
        <f t="shared" si="8"/>
        <v>2</v>
      </c>
      <c r="N103" s="72" t="s">
        <v>498</v>
      </c>
      <c r="O103" s="72">
        <f t="shared" si="13"/>
        <v>2</v>
      </c>
      <c r="P103" s="70"/>
      <c r="Q103" s="71" t="s">
        <v>499</v>
      </c>
      <c r="R103" s="71" t="s">
        <v>500</v>
      </c>
    </row>
    <row r="104" spans="5:18">
      <c r="E104" s="70"/>
      <c r="F104" s="73" t="s">
        <v>415</v>
      </c>
      <c r="G104" s="72" t="s">
        <v>64</v>
      </c>
      <c r="H104" s="72" t="s">
        <v>501</v>
      </c>
      <c r="I104" s="72">
        <f t="shared" si="10"/>
        <v>2</v>
      </c>
      <c r="J104" s="72" t="s">
        <v>425</v>
      </c>
      <c r="K104" s="72">
        <f t="shared" si="14"/>
        <v>3</v>
      </c>
      <c r="L104" s="74" t="s">
        <v>1598</v>
      </c>
      <c r="M104" s="72">
        <f t="shared" si="8"/>
        <v>2</v>
      </c>
      <c r="N104" s="72" t="s">
        <v>451</v>
      </c>
      <c r="O104" s="72">
        <f t="shared" si="13"/>
        <v>3</v>
      </c>
      <c r="P104" s="70"/>
      <c r="Q104" s="71" t="s">
        <v>502</v>
      </c>
      <c r="R104" s="71"/>
    </row>
    <row r="105" spans="5:18">
      <c r="E105" s="70"/>
      <c r="F105" s="73" t="s">
        <v>416</v>
      </c>
      <c r="G105" s="72" t="s">
        <v>417</v>
      </c>
      <c r="H105" s="72" t="s">
        <v>503</v>
      </c>
      <c r="I105" s="72">
        <f t="shared" si="10"/>
        <v>3</v>
      </c>
      <c r="J105" s="72" t="s">
        <v>427</v>
      </c>
      <c r="K105" s="72">
        <f t="shared" si="14"/>
        <v>3</v>
      </c>
      <c r="L105" s="74" t="s">
        <v>496</v>
      </c>
      <c r="M105" s="72">
        <f t="shared" si="8"/>
        <v>3</v>
      </c>
      <c r="N105" s="72" t="s">
        <v>470</v>
      </c>
      <c r="O105" s="72">
        <f t="shared" si="13"/>
        <v>3</v>
      </c>
      <c r="P105" s="70"/>
      <c r="Q105" s="71" t="s">
        <v>504</v>
      </c>
      <c r="R105" s="71"/>
    </row>
    <row r="106" spans="5:18">
      <c r="E106" s="70"/>
      <c r="F106" s="95" t="s">
        <v>1558</v>
      </c>
      <c r="G106" s="72" t="s">
        <v>1560</v>
      </c>
      <c r="H106" s="72" t="s">
        <v>1561</v>
      </c>
      <c r="I106" s="72">
        <f t="shared" si="10"/>
        <v>3</v>
      </c>
      <c r="J106" s="72" t="s">
        <v>427</v>
      </c>
      <c r="K106" s="72">
        <f t="shared" si="14"/>
        <v>3</v>
      </c>
      <c r="L106" s="72" t="s">
        <v>430</v>
      </c>
      <c r="M106" s="72">
        <f t="shared" si="8"/>
        <v>4</v>
      </c>
      <c r="N106" s="72" t="s">
        <v>1563</v>
      </c>
      <c r="O106" s="72">
        <f t="shared" si="13"/>
        <v>4</v>
      </c>
      <c r="P106" s="70"/>
      <c r="Q106" s="71" t="s">
        <v>1562</v>
      </c>
      <c r="R106" s="71"/>
    </row>
    <row r="107" spans="5:18">
      <c r="E107" s="70"/>
      <c r="F107" s="95" t="s">
        <v>1587</v>
      </c>
      <c r="G107" s="72" t="s">
        <v>1589</v>
      </c>
      <c r="H107" s="72" t="s">
        <v>1593</v>
      </c>
      <c r="I107" s="72">
        <f t="shared" si="10"/>
        <v>2</v>
      </c>
      <c r="J107" s="72" t="s">
        <v>1566</v>
      </c>
      <c r="K107" s="72">
        <f t="shared" si="14"/>
        <v>3</v>
      </c>
      <c r="L107" s="72" t="s">
        <v>1566</v>
      </c>
      <c r="M107" s="72">
        <f t="shared" si="8"/>
        <v>3</v>
      </c>
      <c r="N107" s="72" t="s">
        <v>1594</v>
      </c>
      <c r="O107" s="72">
        <f t="shared" si="13"/>
        <v>2</v>
      </c>
      <c r="P107" s="70"/>
      <c r="Q107" s="71" t="s">
        <v>1591</v>
      </c>
      <c r="R107" s="71"/>
    </row>
  </sheetData>
  <mergeCells count="13">
    <mergeCell ref="N35:O35"/>
    <mergeCell ref="G90:G91"/>
    <mergeCell ref="H90:H91"/>
    <mergeCell ref="I90:I91"/>
    <mergeCell ref="J90:K90"/>
    <mergeCell ref="L90:M90"/>
    <mergeCell ref="N90:O90"/>
    <mergeCell ref="L35:M35"/>
    <mergeCell ref="A17:C17"/>
    <mergeCell ref="G35:G36"/>
    <mergeCell ref="H35:H36"/>
    <mergeCell ref="I35:I36"/>
    <mergeCell ref="J35:K35"/>
  </mergeCells>
  <phoneticPr fontId="2" type="noConversion"/>
  <dataValidations count="3">
    <dataValidation type="list" allowBlank="1" showInputMessage="1" showErrorMessage="1" sqref="I22" xr:uid="{5A85B2B1-DA55-4AC2-8166-CEA8D4C7A72B}">
      <formula1>$G$37:$G$51</formula1>
    </dataValidation>
    <dataValidation type="list" allowBlank="1" showInputMessage="1" showErrorMessage="1" sqref="I17" xr:uid="{8A2215CB-507A-4021-AD5E-DC9F1AA84F49}">
      <formula1>"Y,N"</formula1>
    </dataValidation>
    <dataValidation type="list" allowBlank="1" showInputMessage="1" showErrorMessage="1" sqref="I13" xr:uid="{30AC5CE1-44DF-4B94-B485-2E637A5B101C}">
      <formula1>$M$60:$M$68</formula1>
    </dataValidation>
  </dataValidations>
  <pageMargins left="0.70866141732283472" right="0.70866141732283472" top="0.74803149606299213" bottom="0.74803149606299213" header="0.31496062992125984" footer="0.31496062992125984"/>
  <pageSetup paperSize="9" scale="52" orientation="portrait" r:id="rId1"/>
  <headerFooter>
    <oddHeader>&amp;C&amp;"微軟正黑體,粗體"&amp;16&amp;A&amp;_&amp;D</oddHeader>
  </headerFooter>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8CC13-4CCC-436C-A1F5-ED1A86C543A9}">
  <sheetPr codeName="工作表6"/>
  <dimension ref="B2:W1014"/>
  <sheetViews>
    <sheetView workbookViewId="0">
      <selection activeCell="G23" sqref="G23"/>
    </sheetView>
  </sheetViews>
  <sheetFormatPr defaultRowHeight="15.75"/>
  <cols>
    <col min="1" max="1" width="3.75" style="17" customWidth="1"/>
    <col min="2" max="2" width="9" style="17"/>
    <col min="3" max="3" width="22.125" style="17" customWidth="1"/>
    <col min="4" max="4" width="3.75" customWidth="1"/>
    <col min="5" max="5" width="3.75" style="17" customWidth="1"/>
    <col min="6" max="6" width="9" style="17"/>
    <col min="7" max="7" width="12.625" style="17" bestFit="1" customWidth="1"/>
    <col min="8" max="8" width="29.375" style="17" bestFit="1" customWidth="1"/>
    <col min="9" max="10" width="20.75" style="17" customWidth="1"/>
    <col min="11" max="11" width="3.75" style="17" customWidth="1"/>
    <col min="12" max="12" width="9" style="17"/>
    <col min="13" max="13" width="12.625" style="17" bestFit="1" customWidth="1"/>
    <col min="14" max="14" width="19.375" style="17" bestFit="1" customWidth="1"/>
    <col min="15" max="15" width="3.75" style="17" customWidth="1"/>
    <col min="16" max="16" width="9" style="17"/>
    <col min="17" max="17" width="12.625" style="17" bestFit="1" customWidth="1"/>
    <col min="18" max="18" width="17.875" style="17" bestFit="1" customWidth="1"/>
    <col min="19" max="19" width="3.75" style="17" customWidth="1"/>
    <col min="20" max="20" width="9" style="17"/>
    <col min="21" max="21" width="15.125" style="17" bestFit="1" customWidth="1"/>
    <col min="22" max="23" width="15.875" style="17" bestFit="1" customWidth="1"/>
    <col min="24" max="16384" width="9" style="17"/>
  </cols>
  <sheetData>
    <row r="2" spans="2:23">
      <c r="B2" s="16" t="s">
        <v>115</v>
      </c>
      <c r="C2" s="17" t="s">
        <v>116</v>
      </c>
      <c r="F2" s="16" t="s">
        <v>117</v>
      </c>
      <c r="G2" s="17" t="s">
        <v>116</v>
      </c>
      <c r="H2" s="17" t="s">
        <v>118</v>
      </c>
      <c r="I2" s="17" t="s">
        <v>119</v>
      </c>
      <c r="J2" s="17" t="s">
        <v>120</v>
      </c>
      <c r="L2" s="16" t="s">
        <v>121</v>
      </c>
      <c r="M2" s="17" t="s">
        <v>116</v>
      </c>
      <c r="N2" s="17" t="s">
        <v>122</v>
      </c>
      <c r="P2" s="16" t="s">
        <v>123</v>
      </c>
      <c r="Q2" s="17" t="s">
        <v>124</v>
      </c>
      <c r="R2" s="17" t="s">
        <v>122</v>
      </c>
      <c r="T2" s="16" t="s">
        <v>125</v>
      </c>
      <c r="U2" s="17" t="s">
        <v>124</v>
      </c>
      <c r="V2" s="17" t="s">
        <v>126</v>
      </c>
      <c r="W2" s="17" t="s">
        <v>127</v>
      </c>
    </row>
    <row r="3" spans="2:23">
      <c r="C3" s="17" t="s">
        <v>1274</v>
      </c>
      <c r="G3" s="17" t="s">
        <v>128</v>
      </c>
      <c r="H3" s="17" t="s">
        <v>129</v>
      </c>
      <c r="I3" s="17" t="s">
        <v>130</v>
      </c>
      <c r="J3" s="17" t="s">
        <v>131</v>
      </c>
      <c r="M3" s="18" t="s">
        <v>132</v>
      </c>
      <c r="N3" s="17" t="s">
        <v>133</v>
      </c>
      <c r="Q3" s="17" t="s">
        <v>1427</v>
      </c>
      <c r="R3" s="19" t="s">
        <v>134</v>
      </c>
      <c r="U3" s="17" t="s">
        <v>135</v>
      </c>
      <c r="V3" s="17" t="s">
        <v>136</v>
      </c>
      <c r="W3" s="17" t="s">
        <v>137</v>
      </c>
    </row>
    <row r="4" spans="2:23">
      <c r="C4" s="17" t="s">
        <v>1168</v>
      </c>
      <c r="G4" s="17" t="s">
        <v>138</v>
      </c>
      <c r="H4" s="17" t="s">
        <v>139</v>
      </c>
      <c r="I4" s="17" t="s">
        <v>140</v>
      </c>
      <c r="J4" s="17" t="s">
        <v>141</v>
      </c>
      <c r="M4" s="18" t="s">
        <v>142</v>
      </c>
      <c r="N4" s="17" t="s">
        <v>143</v>
      </c>
      <c r="Q4" s="17" t="s">
        <v>1428</v>
      </c>
      <c r="R4" s="19" t="s">
        <v>144</v>
      </c>
      <c r="U4" s="17" t="s">
        <v>145</v>
      </c>
      <c r="V4" s="17" t="s">
        <v>146</v>
      </c>
      <c r="W4" s="17" t="s">
        <v>147</v>
      </c>
    </row>
    <row r="5" spans="2:23">
      <c r="C5" s="17" t="s">
        <v>1271</v>
      </c>
      <c r="G5" s="17" t="s">
        <v>148</v>
      </c>
      <c r="H5" s="17" t="s">
        <v>149</v>
      </c>
      <c r="I5" s="17" t="s">
        <v>150</v>
      </c>
      <c r="J5" s="17" t="s">
        <v>151</v>
      </c>
      <c r="M5" s="18" t="s">
        <v>152</v>
      </c>
      <c r="N5" s="17" t="s">
        <v>153</v>
      </c>
      <c r="R5" s="19"/>
      <c r="U5" s="17" t="s">
        <v>154</v>
      </c>
      <c r="V5" s="17" t="s">
        <v>155</v>
      </c>
      <c r="W5" s="17" t="s">
        <v>156</v>
      </c>
    </row>
    <row r="6" spans="2:23">
      <c r="C6" s="17" t="s">
        <v>1278</v>
      </c>
      <c r="G6" s="17" t="s">
        <v>157</v>
      </c>
      <c r="H6" s="17" t="s">
        <v>158</v>
      </c>
      <c r="I6" s="17" t="s">
        <v>159</v>
      </c>
      <c r="J6" s="17" t="s">
        <v>160</v>
      </c>
      <c r="M6" s="18" t="s">
        <v>161</v>
      </c>
      <c r="N6" s="17" t="s">
        <v>162</v>
      </c>
      <c r="R6" s="19"/>
      <c r="U6" s="17" t="s">
        <v>163</v>
      </c>
      <c r="V6" s="17" t="s">
        <v>164</v>
      </c>
      <c r="W6" s="17" t="s">
        <v>165</v>
      </c>
    </row>
    <row r="7" spans="2:23">
      <c r="C7" s="17" t="s">
        <v>1216</v>
      </c>
      <c r="G7" s="17" t="s">
        <v>166</v>
      </c>
      <c r="H7" s="17" t="s">
        <v>167</v>
      </c>
      <c r="I7" s="17" t="s">
        <v>168</v>
      </c>
      <c r="J7" s="17" t="s">
        <v>169</v>
      </c>
      <c r="M7" s="18" t="s">
        <v>170</v>
      </c>
      <c r="N7" s="17" t="s">
        <v>171</v>
      </c>
      <c r="R7" s="19"/>
      <c r="U7" s="17" t="s">
        <v>172</v>
      </c>
      <c r="V7" s="17" t="s">
        <v>164</v>
      </c>
      <c r="W7" s="17" t="s">
        <v>165</v>
      </c>
    </row>
    <row r="8" spans="2:23">
      <c r="C8" s="17" t="s">
        <v>1293</v>
      </c>
      <c r="G8" s="17" t="s">
        <v>173</v>
      </c>
      <c r="H8" s="17" t="s">
        <v>174</v>
      </c>
      <c r="I8" s="17" t="s">
        <v>175</v>
      </c>
      <c r="J8" s="17" t="s">
        <v>176</v>
      </c>
      <c r="M8" s="18" t="s">
        <v>177</v>
      </c>
      <c r="N8" s="17" t="s">
        <v>178</v>
      </c>
      <c r="R8" s="19"/>
    </row>
    <row r="9" spans="2:23">
      <c r="C9" s="17" t="s">
        <v>1176</v>
      </c>
      <c r="G9" s="17" t="s">
        <v>179</v>
      </c>
      <c r="H9" s="17" t="s">
        <v>180</v>
      </c>
      <c r="I9" s="17" t="s">
        <v>181</v>
      </c>
      <c r="J9" s="17" t="s">
        <v>182</v>
      </c>
      <c r="M9" s="18" t="s">
        <v>183</v>
      </c>
      <c r="N9" s="17" t="s">
        <v>184</v>
      </c>
      <c r="R9" s="19"/>
    </row>
    <row r="10" spans="2:23">
      <c r="C10" s="17" t="s">
        <v>1191</v>
      </c>
      <c r="G10" s="17" t="s">
        <v>185</v>
      </c>
      <c r="H10" s="17" t="s">
        <v>186</v>
      </c>
      <c r="I10" s="17" t="s">
        <v>187</v>
      </c>
      <c r="J10" s="17" t="s">
        <v>188</v>
      </c>
      <c r="M10" s="18" t="s">
        <v>189</v>
      </c>
      <c r="N10" s="17" t="s">
        <v>190</v>
      </c>
      <c r="R10" s="19"/>
    </row>
    <row r="11" spans="2:23">
      <c r="C11" s="17" t="s">
        <v>1244</v>
      </c>
      <c r="G11" s="17" t="s">
        <v>191</v>
      </c>
      <c r="H11" s="17" t="s">
        <v>192</v>
      </c>
      <c r="I11" s="17" t="s">
        <v>193</v>
      </c>
      <c r="J11" s="17" t="s">
        <v>194</v>
      </c>
      <c r="M11" s="18" t="s">
        <v>195</v>
      </c>
      <c r="N11" s="17" t="s">
        <v>196</v>
      </c>
    </row>
    <row r="12" spans="2:23">
      <c r="C12" s="17" t="s">
        <v>1179</v>
      </c>
      <c r="G12" s="17" t="s">
        <v>197</v>
      </c>
      <c r="H12" s="17" t="s">
        <v>198</v>
      </c>
      <c r="I12" s="17" t="s">
        <v>199</v>
      </c>
      <c r="J12" s="17" t="s">
        <v>200</v>
      </c>
      <c r="M12" s="18" t="s">
        <v>201</v>
      </c>
      <c r="N12" s="17" t="s">
        <v>202</v>
      </c>
    </row>
    <row r="13" spans="2:23">
      <c r="C13" s="17" t="s">
        <v>1259</v>
      </c>
      <c r="G13" s="17" t="s">
        <v>203</v>
      </c>
      <c r="H13" s="17" t="s">
        <v>204</v>
      </c>
      <c r="I13" s="17" t="s">
        <v>205</v>
      </c>
      <c r="J13" s="17" t="s">
        <v>206</v>
      </c>
      <c r="M13" s="18" t="s">
        <v>207</v>
      </c>
      <c r="N13" s="17" t="s">
        <v>208</v>
      </c>
    </row>
    <row r="14" spans="2:23">
      <c r="C14" s="17" t="s">
        <v>1326</v>
      </c>
      <c r="G14" s="17" t="s">
        <v>209</v>
      </c>
      <c r="H14" s="17" t="s">
        <v>210</v>
      </c>
      <c r="I14" s="17" t="s">
        <v>211</v>
      </c>
      <c r="J14" s="17" t="s">
        <v>212</v>
      </c>
      <c r="M14" s="18" t="s">
        <v>213</v>
      </c>
      <c r="N14" s="17" t="s">
        <v>214</v>
      </c>
    </row>
    <row r="15" spans="2:23">
      <c r="C15" s="17" t="s">
        <v>1275</v>
      </c>
      <c r="G15" s="17" t="s">
        <v>215</v>
      </c>
      <c r="H15" s="17" t="s">
        <v>216</v>
      </c>
      <c r="I15" s="17" t="s">
        <v>217</v>
      </c>
      <c r="J15" s="17" t="s">
        <v>218</v>
      </c>
      <c r="M15" s="18" t="s">
        <v>219</v>
      </c>
      <c r="N15" s="17" t="s">
        <v>220</v>
      </c>
    </row>
    <row r="16" spans="2:23">
      <c r="C16" s="17" t="s">
        <v>1339</v>
      </c>
      <c r="G16" s="17" t="s">
        <v>221</v>
      </c>
      <c r="H16" s="17" t="s">
        <v>222</v>
      </c>
      <c r="I16" s="17" t="s">
        <v>223</v>
      </c>
      <c r="J16" s="17" t="s">
        <v>224</v>
      </c>
      <c r="M16" s="18" t="s">
        <v>225</v>
      </c>
      <c r="N16" s="17" t="s">
        <v>226</v>
      </c>
    </row>
    <row r="17" spans="3:14">
      <c r="C17" s="17" t="s">
        <v>1290</v>
      </c>
      <c r="G17" s="17" t="s">
        <v>227</v>
      </c>
      <c r="H17" s="17" t="s">
        <v>222</v>
      </c>
      <c r="I17" s="17" t="s">
        <v>223</v>
      </c>
      <c r="J17" s="17" t="s">
        <v>228</v>
      </c>
      <c r="M17" s="18" t="s">
        <v>229</v>
      </c>
      <c r="N17" s="17" t="s">
        <v>230</v>
      </c>
    </row>
    <row r="18" spans="3:14">
      <c r="C18" s="17" t="s">
        <v>1256</v>
      </c>
      <c r="G18" s="17" t="s">
        <v>231</v>
      </c>
      <c r="H18" s="17" t="s">
        <v>222</v>
      </c>
      <c r="I18" s="17" t="s">
        <v>223</v>
      </c>
      <c r="J18" s="17" t="s">
        <v>232</v>
      </c>
      <c r="M18" s="18" t="s">
        <v>233</v>
      </c>
      <c r="N18" s="17" t="s">
        <v>234</v>
      </c>
    </row>
    <row r="19" spans="3:14">
      <c r="C19" s="17" t="s">
        <v>1217</v>
      </c>
      <c r="G19" s="17" t="s">
        <v>235</v>
      </c>
      <c r="H19" s="17" t="s">
        <v>222</v>
      </c>
      <c r="I19" s="17" t="s">
        <v>223</v>
      </c>
      <c r="J19" s="17" t="s">
        <v>236</v>
      </c>
      <c r="M19" s="18" t="s">
        <v>237</v>
      </c>
      <c r="N19" s="17" t="s">
        <v>238</v>
      </c>
    </row>
    <row r="20" spans="3:14">
      <c r="C20" s="17" t="s">
        <v>1294</v>
      </c>
      <c r="G20" s="17" t="s">
        <v>239</v>
      </c>
      <c r="I20" s="17" t="s">
        <v>223</v>
      </c>
      <c r="J20" s="17" t="s">
        <v>240</v>
      </c>
      <c r="M20" s="18" t="s">
        <v>241</v>
      </c>
      <c r="N20" s="17" t="s">
        <v>242</v>
      </c>
    </row>
    <row r="21" spans="3:14">
      <c r="C21" s="17" t="s">
        <v>1245</v>
      </c>
      <c r="G21" s="17" t="s">
        <v>243</v>
      </c>
      <c r="I21" s="17" t="s">
        <v>223</v>
      </c>
      <c r="J21" s="17" t="s">
        <v>136</v>
      </c>
      <c r="M21" s="18" t="s">
        <v>244</v>
      </c>
      <c r="N21" s="17" t="s">
        <v>245</v>
      </c>
    </row>
    <row r="22" spans="3:14">
      <c r="C22" s="17" t="s">
        <v>1218</v>
      </c>
      <c r="G22" s="17" t="s">
        <v>246</v>
      </c>
      <c r="I22" s="17" t="s">
        <v>223</v>
      </c>
      <c r="J22" s="17" t="s">
        <v>247</v>
      </c>
      <c r="M22" s="18" t="s">
        <v>248</v>
      </c>
      <c r="N22" s="17" t="s">
        <v>249</v>
      </c>
    </row>
    <row r="23" spans="3:14">
      <c r="C23" s="17" t="s">
        <v>1331</v>
      </c>
      <c r="G23" s="17" t="s">
        <v>250</v>
      </c>
      <c r="I23" s="17" t="s">
        <v>223</v>
      </c>
      <c r="J23" s="17" t="s">
        <v>146</v>
      </c>
      <c r="M23" s="18" t="s">
        <v>251</v>
      </c>
      <c r="N23" s="17" t="s">
        <v>252</v>
      </c>
    </row>
    <row r="24" spans="3:14">
      <c r="C24" s="17" t="s">
        <v>1281</v>
      </c>
      <c r="G24" s="17" t="s">
        <v>253</v>
      </c>
      <c r="I24" s="17" t="s">
        <v>223</v>
      </c>
      <c r="J24" s="17" t="s">
        <v>155</v>
      </c>
      <c r="M24" s="18" t="s">
        <v>254</v>
      </c>
      <c r="N24" s="17" t="s">
        <v>255</v>
      </c>
    </row>
    <row r="25" spans="3:14">
      <c r="C25" s="17" t="s">
        <v>1198</v>
      </c>
      <c r="G25" s="17" t="s">
        <v>256</v>
      </c>
      <c r="I25" s="17" t="s">
        <v>223</v>
      </c>
      <c r="J25" s="17" t="s">
        <v>164</v>
      </c>
      <c r="M25" s="18" t="s">
        <v>257</v>
      </c>
      <c r="N25" s="17" t="s">
        <v>258</v>
      </c>
    </row>
    <row r="26" spans="3:14">
      <c r="C26" s="17" t="s">
        <v>1307</v>
      </c>
      <c r="M26" s="18" t="s">
        <v>259</v>
      </c>
      <c r="N26" s="17" t="s">
        <v>260</v>
      </c>
    </row>
    <row r="27" spans="3:14">
      <c r="C27" s="17" t="s">
        <v>1219</v>
      </c>
      <c r="M27" s="18" t="s">
        <v>261</v>
      </c>
      <c r="N27" s="17" t="s">
        <v>262</v>
      </c>
    </row>
    <row r="28" spans="3:14">
      <c r="C28" s="17" t="s">
        <v>1332</v>
      </c>
      <c r="M28" s="18" t="s">
        <v>263</v>
      </c>
      <c r="N28" s="17" t="s">
        <v>264</v>
      </c>
    </row>
    <row r="29" spans="3:14">
      <c r="C29" s="17" t="s">
        <v>1172</v>
      </c>
      <c r="M29" s="18" t="s">
        <v>265</v>
      </c>
      <c r="N29" s="17" t="s">
        <v>266</v>
      </c>
    </row>
    <row r="30" spans="3:14">
      <c r="C30" s="17" t="s">
        <v>1311</v>
      </c>
      <c r="M30" s="18" t="s">
        <v>267</v>
      </c>
      <c r="N30" s="17" t="s">
        <v>268</v>
      </c>
    </row>
    <row r="31" spans="3:14">
      <c r="C31" s="17" t="s">
        <v>1250</v>
      </c>
      <c r="M31" s="18" t="s">
        <v>269</v>
      </c>
      <c r="N31" s="17" t="s">
        <v>270</v>
      </c>
    </row>
    <row r="32" spans="3:14">
      <c r="C32" s="17" t="s">
        <v>1025</v>
      </c>
      <c r="M32" s="18" t="s">
        <v>271</v>
      </c>
      <c r="N32" s="17" t="s">
        <v>272</v>
      </c>
    </row>
    <row r="33" spans="3:14">
      <c r="C33" s="17" t="s">
        <v>1026</v>
      </c>
      <c r="M33" s="18" t="s">
        <v>273</v>
      </c>
      <c r="N33" s="17" t="s">
        <v>274</v>
      </c>
    </row>
    <row r="34" spans="3:14">
      <c r="C34" s="17" t="s">
        <v>1220</v>
      </c>
      <c r="M34" s="18" t="s">
        <v>275</v>
      </c>
      <c r="N34" s="17" t="s">
        <v>276</v>
      </c>
    </row>
    <row r="35" spans="3:14">
      <c r="C35" s="17" t="s">
        <v>1333</v>
      </c>
      <c r="M35" s="18" t="s">
        <v>277</v>
      </c>
      <c r="N35" s="17" t="s">
        <v>278</v>
      </c>
    </row>
    <row r="36" spans="3:14">
      <c r="C36" s="17" t="s">
        <v>1257</v>
      </c>
    </row>
    <row r="37" spans="3:14">
      <c r="C37" s="17" t="s">
        <v>1027</v>
      </c>
    </row>
    <row r="38" spans="3:14">
      <c r="C38" s="17" t="s">
        <v>1612</v>
      </c>
    </row>
    <row r="39" spans="3:14">
      <c r="C39" s="17" t="s">
        <v>1199</v>
      </c>
    </row>
    <row r="40" spans="3:14">
      <c r="C40" s="17" t="s">
        <v>1260</v>
      </c>
    </row>
    <row r="41" spans="3:14">
      <c r="C41" s="17" t="s">
        <v>1238</v>
      </c>
    </row>
    <row r="42" spans="3:14">
      <c r="C42" s="17" t="s">
        <v>1302</v>
      </c>
    </row>
    <row r="43" spans="3:14">
      <c r="C43" s="17" t="s">
        <v>1266</v>
      </c>
    </row>
    <row r="44" spans="3:14">
      <c r="C44" s="17" t="s">
        <v>1303</v>
      </c>
    </row>
    <row r="45" spans="3:14">
      <c r="C45" s="17" t="s">
        <v>1185</v>
      </c>
    </row>
    <row r="46" spans="3:14">
      <c r="C46" s="17" t="s">
        <v>1282</v>
      </c>
    </row>
    <row r="47" spans="3:14">
      <c r="C47" s="17" t="s">
        <v>1221</v>
      </c>
    </row>
    <row r="48" spans="3:14">
      <c r="C48" s="17" t="s">
        <v>1248</v>
      </c>
    </row>
    <row r="49" spans="3:3">
      <c r="C49" s="17" t="s">
        <v>1222</v>
      </c>
    </row>
    <row r="50" spans="3:3">
      <c r="C50" s="17" t="s">
        <v>1223</v>
      </c>
    </row>
    <row r="51" spans="3:3">
      <c r="C51" s="17" t="s">
        <v>1246</v>
      </c>
    </row>
    <row r="52" spans="3:3">
      <c r="C52" s="17" t="s">
        <v>1338</v>
      </c>
    </row>
    <row r="53" spans="3:3">
      <c r="C53" s="17" t="s">
        <v>1224</v>
      </c>
    </row>
    <row r="54" spans="3:3">
      <c r="C54" s="17" t="s">
        <v>1284</v>
      </c>
    </row>
    <row r="55" spans="3:3">
      <c r="C55" s="17" t="s">
        <v>1344</v>
      </c>
    </row>
    <row r="56" spans="3:3">
      <c r="C56" s="17" t="s">
        <v>1056</v>
      </c>
    </row>
    <row r="57" spans="3:3">
      <c r="C57" s="17" t="s">
        <v>1269</v>
      </c>
    </row>
    <row r="58" spans="3:3">
      <c r="C58" s="17" t="s">
        <v>1247</v>
      </c>
    </row>
    <row r="59" spans="3:3">
      <c r="C59" s="17" t="s">
        <v>1340</v>
      </c>
    </row>
    <row r="60" spans="3:3">
      <c r="C60" s="17" t="s">
        <v>1304</v>
      </c>
    </row>
    <row r="61" spans="3:3">
      <c r="C61" s="17" t="s">
        <v>1180</v>
      </c>
    </row>
    <row r="62" spans="3:3">
      <c r="C62" s="17" t="s">
        <v>1253</v>
      </c>
    </row>
    <row r="63" spans="3:3">
      <c r="C63" s="17" t="s">
        <v>1192</v>
      </c>
    </row>
    <row r="64" spans="3:3">
      <c r="C64" s="17" t="s">
        <v>1102</v>
      </c>
    </row>
    <row r="65" spans="3:3">
      <c r="C65" s="17" t="s">
        <v>1276</v>
      </c>
    </row>
    <row r="66" spans="3:3">
      <c r="C66" s="17" t="s">
        <v>1272</v>
      </c>
    </row>
    <row r="67" spans="3:3">
      <c r="C67" s="17" t="s">
        <v>1308</v>
      </c>
    </row>
    <row r="68" spans="3:3">
      <c r="C68" s="17" t="s">
        <v>1263</v>
      </c>
    </row>
    <row r="69" spans="3:3">
      <c r="C69" s="17" t="s">
        <v>1320</v>
      </c>
    </row>
    <row r="70" spans="3:3">
      <c r="C70" s="17" t="s">
        <v>1297</v>
      </c>
    </row>
    <row r="71" spans="3:3">
      <c r="C71" s="17" t="s">
        <v>1285</v>
      </c>
    </row>
    <row r="72" spans="3:3">
      <c r="C72" s="17" t="s">
        <v>1334</v>
      </c>
    </row>
    <row r="73" spans="3:3">
      <c r="C73" s="17" t="s">
        <v>1200</v>
      </c>
    </row>
    <row r="74" spans="3:3">
      <c r="C74" s="17" t="s">
        <v>1351</v>
      </c>
    </row>
    <row r="75" spans="3:3">
      <c r="C75" s="17" t="s">
        <v>1258</v>
      </c>
    </row>
    <row r="76" spans="3:3">
      <c r="C76" s="17" t="s">
        <v>1264</v>
      </c>
    </row>
    <row r="77" spans="3:3">
      <c r="C77" s="17" t="s">
        <v>1310</v>
      </c>
    </row>
    <row r="78" spans="3:3">
      <c r="C78" s="17" t="s">
        <v>1201</v>
      </c>
    </row>
    <row r="79" spans="3:3">
      <c r="C79" s="17" t="s">
        <v>1341</v>
      </c>
    </row>
    <row r="80" spans="3:3">
      <c r="C80" s="17" t="s">
        <v>1177</v>
      </c>
    </row>
    <row r="81" spans="3:3">
      <c r="C81" s="17" t="s">
        <v>1181</v>
      </c>
    </row>
    <row r="82" spans="3:3">
      <c r="C82" s="17" t="s">
        <v>1202</v>
      </c>
    </row>
    <row r="83" spans="3:3">
      <c r="C83" s="17" t="s">
        <v>1273</v>
      </c>
    </row>
    <row r="84" spans="3:3">
      <c r="C84" s="17" t="s">
        <v>1225</v>
      </c>
    </row>
    <row r="85" spans="3:3">
      <c r="C85" s="17" t="s">
        <v>1267</v>
      </c>
    </row>
    <row r="86" spans="3:3">
      <c r="C86" s="17" t="s">
        <v>1287</v>
      </c>
    </row>
    <row r="87" spans="3:3">
      <c r="C87" s="17" t="s">
        <v>1322</v>
      </c>
    </row>
    <row r="88" spans="3:3">
      <c r="C88" s="17" t="s">
        <v>1178</v>
      </c>
    </row>
    <row r="89" spans="3:3">
      <c r="C89" s="17" t="s">
        <v>1295</v>
      </c>
    </row>
    <row r="90" spans="3:3">
      <c r="C90" s="17" t="s">
        <v>1314</v>
      </c>
    </row>
    <row r="91" spans="3:3">
      <c r="C91" s="17" t="s">
        <v>1286</v>
      </c>
    </row>
    <row r="92" spans="3:3">
      <c r="C92" s="17" t="s">
        <v>1182</v>
      </c>
    </row>
    <row r="93" spans="3:3">
      <c r="C93" s="17" t="s">
        <v>1343</v>
      </c>
    </row>
    <row r="94" spans="3:3">
      <c r="C94" s="17" t="s">
        <v>1323</v>
      </c>
    </row>
    <row r="95" spans="3:3">
      <c r="C95" s="17" t="s">
        <v>1318</v>
      </c>
    </row>
    <row r="96" spans="3:3">
      <c r="C96" s="17" t="s">
        <v>1324</v>
      </c>
    </row>
    <row r="97" spans="3:3">
      <c r="C97" s="17" t="s">
        <v>1305</v>
      </c>
    </row>
    <row r="98" spans="3:3">
      <c r="C98" s="17" t="s">
        <v>1353</v>
      </c>
    </row>
    <row r="99" spans="3:3">
      <c r="C99" s="17" t="s">
        <v>1270</v>
      </c>
    </row>
    <row r="100" spans="3:3">
      <c r="C100" s="17" t="s">
        <v>1154</v>
      </c>
    </row>
    <row r="101" spans="3:3">
      <c r="C101" s="17" t="s">
        <v>1325</v>
      </c>
    </row>
    <row r="102" spans="3:3">
      <c r="C102" s="17" t="s">
        <v>1203</v>
      </c>
    </row>
    <row r="103" spans="3:3">
      <c r="C103" s="17" t="s">
        <v>1226</v>
      </c>
    </row>
    <row r="104" spans="3:3">
      <c r="C104" s="17" t="s">
        <v>1204</v>
      </c>
    </row>
    <row r="105" spans="3:3">
      <c r="C105" s="17" t="s">
        <v>1317</v>
      </c>
    </row>
    <row r="106" spans="3:3">
      <c r="C106" s="17" t="s">
        <v>1028</v>
      </c>
    </row>
    <row r="107" spans="3:3">
      <c r="C107" s="17" t="s">
        <v>1265</v>
      </c>
    </row>
    <row r="108" spans="3:3">
      <c r="C108" s="17" t="s">
        <v>1279</v>
      </c>
    </row>
    <row r="109" spans="3:3">
      <c r="C109" s="17" t="s">
        <v>1235</v>
      </c>
    </row>
    <row r="110" spans="3:3">
      <c r="C110" s="17" t="s">
        <v>1261</v>
      </c>
    </row>
    <row r="111" spans="3:3">
      <c r="C111" s="17" t="s">
        <v>1157</v>
      </c>
    </row>
    <row r="112" spans="3:3">
      <c r="C112" s="17" t="s">
        <v>1158</v>
      </c>
    </row>
    <row r="113" spans="3:3">
      <c r="C113" s="17" t="s">
        <v>1156</v>
      </c>
    </row>
    <row r="114" spans="3:3">
      <c r="C114" s="17" t="s">
        <v>1464</v>
      </c>
    </row>
    <row r="115" spans="3:3">
      <c r="C115" s="17" t="s">
        <v>1159</v>
      </c>
    </row>
    <row r="116" spans="3:3">
      <c r="C116" s="17" t="s">
        <v>1160</v>
      </c>
    </row>
    <row r="117" spans="3:3">
      <c r="C117" s="17" t="s">
        <v>1161</v>
      </c>
    </row>
    <row r="118" spans="3:3">
      <c r="C118" s="17" t="s">
        <v>1194</v>
      </c>
    </row>
    <row r="119" spans="3:3">
      <c r="C119" s="17" t="s">
        <v>1541</v>
      </c>
    </row>
    <row r="120" spans="3:3">
      <c r="C120" s="17" t="s">
        <v>1151</v>
      </c>
    </row>
    <row r="121" spans="3:3">
      <c r="C121" s="17" t="s">
        <v>1186</v>
      </c>
    </row>
    <row r="122" spans="3:3">
      <c r="C122" s="17" t="s">
        <v>1227</v>
      </c>
    </row>
    <row r="123" spans="3:3">
      <c r="C123" s="17" t="s">
        <v>1228</v>
      </c>
    </row>
    <row r="124" spans="3:3">
      <c r="C124" s="17" t="s">
        <v>1205</v>
      </c>
    </row>
    <row r="125" spans="3:3">
      <c r="C125" s="17" t="s">
        <v>1349</v>
      </c>
    </row>
    <row r="126" spans="3:3">
      <c r="C126" s="17" t="s">
        <v>1067</v>
      </c>
    </row>
    <row r="127" spans="3:3">
      <c r="C127" s="17" t="s">
        <v>1268</v>
      </c>
    </row>
    <row r="128" spans="3:3">
      <c r="C128" s="17" t="s">
        <v>1162</v>
      </c>
    </row>
    <row r="129" spans="3:3">
      <c r="C129" s="17" t="s">
        <v>1123</v>
      </c>
    </row>
    <row r="130" spans="3:3">
      <c r="C130" s="17" t="s">
        <v>1450</v>
      </c>
    </row>
    <row r="131" spans="3:3">
      <c r="C131" s="17" t="s">
        <v>1163</v>
      </c>
    </row>
    <row r="132" spans="3:3">
      <c r="C132" s="17" t="s">
        <v>1242</v>
      </c>
    </row>
    <row r="133" spans="3:3">
      <c r="C133" s="17" t="s">
        <v>1187</v>
      </c>
    </row>
    <row r="134" spans="3:3">
      <c r="C134" s="17" t="s">
        <v>1030</v>
      </c>
    </row>
    <row r="135" spans="3:3">
      <c r="C135" s="17" t="s">
        <v>1174</v>
      </c>
    </row>
    <row r="136" spans="3:3">
      <c r="C136" s="17" t="s">
        <v>1236</v>
      </c>
    </row>
    <row r="137" spans="3:3">
      <c r="C137" s="17" t="s">
        <v>1183</v>
      </c>
    </row>
    <row r="138" spans="3:3">
      <c r="C138" s="17" t="s">
        <v>1329</v>
      </c>
    </row>
    <row r="139" spans="3:3">
      <c r="C139" s="17" t="s">
        <v>1029</v>
      </c>
    </row>
    <row r="140" spans="3:3">
      <c r="C140" s="17" t="s">
        <v>1330</v>
      </c>
    </row>
    <row r="141" spans="3:3">
      <c r="C141" s="17" t="s">
        <v>1093</v>
      </c>
    </row>
    <row r="142" spans="3:3">
      <c r="C142" s="17" t="s">
        <v>1124</v>
      </c>
    </row>
    <row r="143" spans="3:3">
      <c r="C143" s="17" t="s">
        <v>1118</v>
      </c>
    </row>
    <row r="144" spans="3:3">
      <c r="C144" s="17" t="s">
        <v>1195</v>
      </c>
    </row>
    <row r="145" spans="3:3">
      <c r="C145" s="17" t="s">
        <v>1542</v>
      </c>
    </row>
    <row r="146" spans="3:3">
      <c r="C146" s="17" t="s">
        <v>1196</v>
      </c>
    </row>
    <row r="147" spans="3:3">
      <c r="C147" s="17" t="s">
        <v>1229</v>
      </c>
    </row>
    <row r="148" spans="3:3">
      <c r="C148" s="17" t="s">
        <v>1346</v>
      </c>
    </row>
    <row r="149" spans="3:3">
      <c r="C149" s="17" t="s">
        <v>1291</v>
      </c>
    </row>
    <row r="150" spans="3:3">
      <c r="C150" s="17" t="s">
        <v>1306</v>
      </c>
    </row>
    <row r="151" spans="3:3">
      <c r="C151" s="9" t="s">
        <v>1550</v>
      </c>
    </row>
    <row r="152" spans="3:3">
      <c r="C152" s="17" t="s">
        <v>1208</v>
      </c>
    </row>
    <row r="153" spans="3:3">
      <c r="C153" s="17" t="s">
        <v>1115</v>
      </c>
    </row>
    <row r="154" spans="3:3">
      <c r="C154" s="17" t="s">
        <v>1254</v>
      </c>
    </row>
    <row r="155" spans="3:3">
      <c r="C155" s="17" t="s">
        <v>1237</v>
      </c>
    </row>
    <row r="156" spans="3:3">
      <c r="C156" s="17" t="s">
        <v>1209</v>
      </c>
    </row>
    <row r="157" spans="3:3">
      <c r="C157" s="17" t="s">
        <v>1335</v>
      </c>
    </row>
    <row r="158" spans="3:3">
      <c r="C158" s="17" t="s">
        <v>1230</v>
      </c>
    </row>
    <row r="159" spans="3:3">
      <c r="C159" s="17" t="s">
        <v>1206</v>
      </c>
    </row>
    <row r="160" spans="3:3">
      <c r="C160" s="17" t="s">
        <v>1231</v>
      </c>
    </row>
    <row r="161" spans="3:3">
      <c r="C161" s="17" t="s">
        <v>1207</v>
      </c>
    </row>
    <row r="162" spans="3:3">
      <c r="C162" s="17" t="s">
        <v>1449</v>
      </c>
    </row>
    <row r="163" spans="3:3">
      <c r="C163" s="17" t="s">
        <v>1319</v>
      </c>
    </row>
    <row r="164" spans="3:3">
      <c r="C164" s="17" t="s">
        <v>1147</v>
      </c>
    </row>
    <row r="165" spans="3:3">
      <c r="C165" s="17" t="s">
        <v>1035</v>
      </c>
    </row>
    <row r="166" spans="3:3">
      <c r="C166" s="17" t="s">
        <v>1148</v>
      </c>
    </row>
    <row r="167" spans="3:3">
      <c r="C167" s="17" t="s">
        <v>1328</v>
      </c>
    </row>
    <row r="168" spans="3:3">
      <c r="C168" s="17" t="s">
        <v>1352</v>
      </c>
    </row>
    <row r="169" spans="3:3">
      <c r="C169" s="17" t="s">
        <v>1068</v>
      </c>
    </row>
    <row r="170" spans="3:3">
      <c r="C170" s="17" t="s">
        <v>1149</v>
      </c>
    </row>
    <row r="171" spans="3:3">
      <c r="C171" s="17" t="s">
        <v>1125</v>
      </c>
    </row>
    <row r="172" spans="3:3">
      <c r="C172" s="17" t="s">
        <v>1292</v>
      </c>
    </row>
    <row r="173" spans="3:3">
      <c r="C173" s="17" t="s">
        <v>1094</v>
      </c>
    </row>
    <row r="174" spans="3:3">
      <c r="C174" s="17" t="s">
        <v>1184</v>
      </c>
    </row>
    <row r="175" spans="3:3">
      <c r="C175" s="17" t="s">
        <v>1298</v>
      </c>
    </row>
    <row r="176" spans="3:3">
      <c r="C176" s="17" t="s">
        <v>1057</v>
      </c>
    </row>
    <row r="177" spans="3:3">
      <c r="C177" s="17" t="s">
        <v>1049</v>
      </c>
    </row>
    <row r="178" spans="3:3">
      <c r="C178" s="17" t="s">
        <v>1234</v>
      </c>
    </row>
    <row r="179" spans="3:3">
      <c r="C179" s="17" t="s">
        <v>1136</v>
      </c>
    </row>
    <row r="180" spans="3:3">
      <c r="C180" s="17" t="s">
        <v>1069</v>
      </c>
    </row>
    <row r="181" spans="3:3">
      <c r="C181" s="17" t="s">
        <v>1070</v>
      </c>
    </row>
    <row r="182" spans="3:3">
      <c r="C182" s="17" t="s">
        <v>1459</v>
      </c>
    </row>
    <row r="183" spans="3:3">
      <c r="C183" s="17" t="s">
        <v>1239</v>
      </c>
    </row>
    <row r="184" spans="3:3">
      <c r="C184" s="17" t="s">
        <v>1299</v>
      </c>
    </row>
    <row r="185" spans="3:3">
      <c r="C185" s="17" t="s">
        <v>1538</v>
      </c>
    </row>
    <row r="186" spans="3:3">
      <c r="C186" s="17" t="s">
        <v>1544</v>
      </c>
    </row>
    <row r="187" spans="3:3">
      <c r="C187" s="17" t="s">
        <v>1443</v>
      </c>
    </row>
    <row r="188" spans="3:3">
      <c r="C188" s="17" t="s">
        <v>1537</v>
      </c>
    </row>
    <row r="189" spans="3:3">
      <c r="C189" s="17" t="s">
        <v>1626</v>
      </c>
    </row>
    <row r="190" spans="3:3">
      <c r="C190" s="17" t="s">
        <v>1446</v>
      </c>
    </row>
    <row r="191" spans="3:3">
      <c r="C191" s="17" t="s">
        <v>1300</v>
      </c>
    </row>
    <row r="192" spans="3:3">
      <c r="C192" s="17" t="s">
        <v>1252</v>
      </c>
    </row>
    <row r="193" spans="3:3">
      <c r="C193" s="17" t="s">
        <v>1071</v>
      </c>
    </row>
    <row r="194" spans="3:3">
      <c r="C194" s="17" t="s">
        <v>1315</v>
      </c>
    </row>
    <row r="195" spans="3:3">
      <c r="C195" s="17" t="s">
        <v>1232</v>
      </c>
    </row>
    <row r="196" spans="3:3">
      <c r="C196" s="17" t="s">
        <v>1251</v>
      </c>
    </row>
    <row r="197" spans="3:3">
      <c r="C197" s="17" t="s">
        <v>1448</v>
      </c>
    </row>
    <row r="198" spans="3:3">
      <c r="C198" s="17" t="s">
        <v>1034</v>
      </c>
    </row>
    <row r="199" spans="3:3">
      <c r="C199" s="17" t="s">
        <v>1145</v>
      </c>
    </row>
    <row r="200" spans="3:3">
      <c r="C200" s="17" t="s">
        <v>1072</v>
      </c>
    </row>
    <row r="201" spans="3:3">
      <c r="C201" s="17" t="s">
        <v>1126</v>
      </c>
    </row>
    <row r="202" spans="3:3">
      <c r="C202" s="17" t="s">
        <v>1058</v>
      </c>
    </row>
    <row r="203" spans="3:3">
      <c r="C203" s="17" t="s">
        <v>1073</v>
      </c>
    </row>
    <row r="204" spans="3:3">
      <c r="C204" s="17" t="s">
        <v>1036</v>
      </c>
    </row>
    <row r="205" spans="3:3">
      <c r="C205" s="17" t="s">
        <v>1127</v>
      </c>
    </row>
    <row r="206" spans="3:3">
      <c r="C206" s="17" t="s">
        <v>1301</v>
      </c>
    </row>
    <row r="207" spans="3:3">
      <c r="C207" s="17" t="s">
        <v>1105</v>
      </c>
    </row>
    <row r="208" spans="3:3">
      <c r="C208" s="17" t="s">
        <v>1119</v>
      </c>
    </row>
    <row r="209" spans="3:3">
      <c r="C209" s="17" t="s">
        <v>1137</v>
      </c>
    </row>
    <row r="210" spans="3:3">
      <c r="C210" s="17" t="s">
        <v>1128</v>
      </c>
    </row>
    <row r="211" spans="3:3">
      <c r="C211" s="17" t="s">
        <v>1129</v>
      </c>
    </row>
    <row r="212" spans="3:3">
      <c r="C212" s="17" t="s">
        <v>1471</v>
      </c>
    </row>
    <row r="213" spans="3:3">
      <c r="C213" s="17" t="s">
        <v>1059</v>
      </c>
    </row>
    <row r="214" spans="3:3">
      <c r="C214" s="17" t="s">
        <v>1106</v>
      </c>
    </row>
    <row r="215" spans="3:3">
      <c r="C215" s="17" t="s">
        <v>1074</v>
      </c>
    </row>
    <row r="216" spans="3:3">
      <c r="C216" s="17" t="s">
        <v>1075</v>
      </c>
    </row>
    <row r="217" spans="3:3">
      <c r="C217" s="17" t="s">
        <v>1146</v>
      </c>
    </row>
    <row r="218" spans="3:3">
      <c r="C218" s="17" t="s">
        <v>1452</v>
      </c>
    </row>
    <row r="219" spans="3:3">
      <c r="C219" s="17" t="s">
        <v>1060</v>
      </c>
    </row>
    <row r="220" spans="3:3">
      <c r="C220" s="17" t="s">
        <v>1033</v>
      </c>
    </row>
    <row r="221" spans="3:3">
      <c r="C221" s="17" t="s">
        <v>1050</v>
      </c>
    </row>
    <row r="222" spans="3:3">
      <c r="C222" s="17" t="s">
        <v>1120</v>
      </c>
    </row>
    <row r="223" spans="3:3">
      <c r="C223" s="17" t="s">
        <v>1309</v>
      </c>
    </row>
    <row r="224" spans="3:3">
      <c r="C224" s="17" t="s">
        <v>1197</v>
      </c>
    </row>
    <row r="225" spans="3:3">
      <c r="C225" s="17" t="s">
        <v>1051</v>
      </c>
    </row>
    <row r="226" spans="3:3">
      <c r="C226" s="17" t="s">
        <v>1130</v>
      </c>
    </row>
    <row r="227" spans="3:3">
      <c r="C227" s="17" t="s">
        <v>1076</v>
      </c>
    </row>
    <row r="228" spans="3:3">
      <c r="C228" s="17" t="s">
        <v>1095</v>
      </c>
    </row>
    <row r="229" spans="3:3">
      <c r="C229" s="17" t="s">
        <v>1061</v>
      </c>
    </row>
    <row r="230" spans="3:3">
      <c r="C230" s="17" t="s">
        <v>1077</v>
      </c>
    </row>
    <row r="231" spans="3:3">
      <c r="C231" s="17" t="s">
        <v>1062</v>
      </c>
    </row>
    <row r="232" spans="3:3">
      <c r="C232" s="17" t="s">
        <v>1096</v>
      </c>
    </row>
    <row r="233" spans="3:3">
      <c r="C233" s="17" t="s">
        <v>1296</v>
      </c>
    </row>
    <row r="234" spans="3:3">
      <c r="C234" s="17" t="s">
        <v>1262</v>
      </c>
    </row>
    <row r="235" spans="3:3">
      <c r="C235" s="17" t="s">
        <v>1233</v>
      </c>
    </row>
    <row r="236" spans="3:3">
      <c r="C236" s="17" t="s">
        <v>1116</v>
      </c>
    </row>
    <row r="237" spans="3:3">
      <c r="C237" s="17" t="s">
        <v>1063</v>
      </c>
    </row>
    <row r="238" spans="3:3">
      <c r="C238" s="17" t="s">
        <v>1078</v>
      </c>
    </row>
    <row r="239" spans="3:3">
      <c r="C239" s="17" t="s">
        <v>1277</v>
      </c>
    </row>
    <row r="240" spans="3:3">
      <c r="C240" s="17" t="s">
        <v>1193</v>
      </c>
    </row>
    <row r="241" spans="3:3">
      <c r="C241" s="17" t="s">
        <v>1327</v>
      </c>
    </row>
    <row r="242" spans="3:3">
      <c r="C242" s="17" t="s">
        <v>1153</v>
      </c>
    </row>
    <row r="243" spans="3:3">
      <c r="C243" s="17" t="s">
        <v>1152</v>
      </c>
    </row>
    <row r="244" spans="3:3">
      <c r="C244" s="17" t="s">
        <v>1288</v>
      </c>
    </row>
    <row r="245" spans="3:3">
      <c r="C245" s="17" t="s">
        <v>1037</v>
      </c>
    </row>
    <row r="246" spans="3:3">
      <c r="C246" s="17" t="s">
        <v>1079</v>
      </c>
    </row>
    <row r="247" spans="3:3">
      <c r="C247" s="17" t="s">
        <v>1080</v>
      </c>
    </row>
    <row r="248" spans="3:3">
      <c r="C248" s="17" t="s">
        <v>1138</v>
      </c>
    </row>
    <row r="249" spans="3:3">
      <c r="C249" s="17" t="s">
        <v>1081</v>
      </c>
    </row>
    <row r="250" spans="3:3">
      <c r="C250" s="17" t="s">
        <v>1038</v>
      </c>
    </row>
    <row r="251" spans="3:3">
      <c r="C251" s="17" t="s">
        <v>1240</v>
      </c>
    </row>
    <row r="252" spans="3:3">
      <c r="C252" s="17" t="s">
        <v>114</v>
      </c>
    </row>
    <row r="253" spans="3:3">
      <c r="C253" s="17" t="s">
        <v>1082</v>
      </c>
    </row>
    <row r="254" spans="3:3">
      <c r="C254" s="17" t="s">
        <v>1097</v>
      </c>
    </row>
    <row r="255" spans="3:3">
      <c r="C255" s="17" t="s">
        <v>1150</v>
      </c>
    </row>
    <row r="256" spans="3:3">
      <c r="C256" s="17" t="s">
        <v>1139</v>
      </c>
    </row>
    <row r="257" spans="3:3">
      <c r="C257" s="17" t="s">
        <v>1140</v>
      </c>
    </row>
    <row r="258" spans="3:3">
      <c r="C258" s="17" t="s">
        <v>1131</v>
      </c>
    </row>
    <row r="259" spans="3:3">
      <c r="C259" s="17" t="s">
        <v>1121</v>
      </c>
    </row>
    <row r="260" spans="3:3">
      <c r="C260" s="17" t="s">
        <v>1098</v>
      </c>
    </row>
    <row r="261" spans="3:3">
      <c r="C261" s="17" t="s">
        <v>1535</v>
      </c>
    </row>
    <row r="262" spans="3:3">
      <c r="C262" s="17" t="s">
        <v>1117</v>
      </c>
    </row>
    <row r="263" spans="3:3">
      <c r="C263" s="17" t="s">
        <v>1107</v>
      </c>
    </row>
    <row r="264" spans="3:3">
      <c r="C264" s="17" t="s">
        <v>1188</v>
      </c>
    </row>
    <row r="265" spans="3:3">
      <c r="C265" s="17" t="s">
        <v>1210</v>
      </c>
    </row>
    <row r="266" spans="3:3">
      <c r="C266" s="17" t="s">
        <v>1476</v>
      </c>
    </row>
    <row r="267" spans="3:3">
      <c r="C267" s="17" t="s">
        <v>1171</v>
      </c>
    </row>
    <row r="268" spans="3:3">
      <c r="C268" s="17" t="s">
        <v>1189</v>
      </c>
    </row>
    <row r="269" spans="3:3">
      <c r="C269" s="17" t="s">
        <v>1321</v>
      </c>
    </row>
    <row r="270" spans="3:3">
      <c r="C270" s="17" t="s">
        <v>1132</v>
      </c>
    </row>
    <row r="271" spans="3:3">
      <c r="C271" s="17" t="s">
        <v>1064</v>
      </c>
    </row>
    <row r="272" spans="3:3">
      <c r="C272" s="17" t="s">
        <v>1052</v>
      </c>
    </row>
    <row r="273" spans="3:3">
      <c r="C273" s="17" t="s">
        <v>1039</v>
      </c>
    </row>
    <row r="274" spans="3:3">
      <c r="C274" s="17" t="s">
        <v>1099</v>
      </c>
    </row>
    <row r="275" spans="3:3">
      <c r="C275" s="17" t="s">
        <v>1167</v>
      </c>
    </row>
    <row r="276" spans="3:3">
      <c r="C276" s="17" t="s">
        <v>1170</v>
      </c>
    </row>
    <row r="277" spans="3:3">
      <c r="C277" s="17" t="s">
        <v>1100</v>
      </c>
    </row>
    <row r="278" spans="3:3">
      <c r="C278" s="17" t="s">
        <v>1083</v>
      </c>
    </row>
    <row r="279" spans="3:3">
      <c r="C279" s="17" t="s">
        <v>1041</v>
      </c>
    </row>
    <row r="280" spans="3:3">
      <c r="C280" s="17" t="s">
        <v>1042</v>
      </c>
    </row>
    <row r="281" spans="3:3">
      <c r="C281" s="17" t="s">
        <v>1043</v>
      </c>
    </row>
    <row r="282" spans="3:3">
      <c r="C282" s="17" t="s">
        <v>1084</v>
      </c>
    </row>
    <row r="283" spans="3:3">
      <c r="C283" s="17" t="s">
        <v>1044</v>
      </c>
    </row>
    <row r="284" spans="3:3">
      <c r="C284" s="17" t="s">
        <v>1045</v>
      </c>
    </row>
    <row r="285" spans="3:3">
      <c r="C285" s="17" t="s">
        <v>1289</v>
      </c>
    </row>
    <row r="286" spans="3:3">
      <c r="C286" s="17" t="s">
        <v>1085</v>
      </c>
    </row>
    <row r="287" spans="3:3">
      <c r="C287" s="17" t="s">
        <v>1211</v>
      </c>
    </row>
    <row r="288" spans="3:3">
      <c r="C288" s="17" t="s">
        <v>1337</v>
      </c>
    </row>
    <row r="289" spans="3:3">
      <c r="C289" s="17" t="s">
        <v>1243</v>
      </c>
    </row>
    <row r="290" spans="3:3">
      <c r="C290" s="17" t="s">
        <v>1475</v>
      </c>
    </row>
    <row r="291" spans="3:3">
      <c r="C291" s="17" t="s">
        <v>1164</v>
      </c>
    </row>
    <row r="292" spans="3:3">
      <c r="C292" s="17" t="s">
        <v>1165</v>
      </c>
    </row>
    <row r="293" spans="3:3">
      <c r="C293" s="17" t="s">
        <v>1280</v>
      </c>
    </row>
    <row r="294" spans="3:3">
      <c r="C294" s="17" t="s">
        <v>1108</v>
      </c>
    </row>
    <row r="295" spans="3:3">
      <c r="C295" s="17" t="s">
        <v>1110</v>
      </c>
    </row>
    <row r="296" spans="3:3">
      <c r="C296" s="17" t="s">
        <v>1109</v>
      </c>
    </row>
    <row r="297" spans="3:3">
      <c r="C297" s="17" t="s">
        <v>1141</v>
      </c>
    </row>
    <row r="298" spans="3:3">
      <c r="C298" s="17" t="s">
        <v>1111</v>
      </c>
    </row>
    <row r="299" spans="3:3">
      <c r="C299" s="17" t="s">
        <v>1112</v>
      </c>
    </row>
    <row r="300" spans="3:3">
      <c r="C300" s="17" t="s">
        <v>1166</v>
      </c>
    </row>
    <row r="301" spans="3:3">
      <c r="C301" s="17" t="s">
        <v>1133</v>
      </c>
    </row>
    <row r="302" spans="3:3">
      <c r="C302" s="17" t="s">
        <v>1142</v>
      </c>
    </row>
    <row r="303" spans="3:3">
      <c r="C303" s="17" t="s">
        <v>1283</v>
      </c>
    </row>
    <row r="304" spans="3:3">
      <c r="C304" s="17" t="s">
        <v>1312</v>
      </c>
    </row>
    <row r="305" spans="3:3">
      <c r="C305" s="17" t="s">
        <v>1113</v>
      </c>
    </row>
    <row r="306" spans="3:3">
      <c r="C306" s="17" t="s">
        <v>1212</v>
      </c>
    </row>
    <row r="307" spans="3:3">
      <c r="C307" s="17" t="s">
        <v>1103</v>
      </c>
    </row>
    <row r="308" spans="3:3">
      <c r="C308" s="17" t="s">
        <v>1040</v>
      </c>
    </row>
    <row r="309" spans="3:3">
      <c r="C309" s="17" t="s">
        <v>1065</v>
      </c>
    </row>
    <row r="310" spans="3:3">
      <c r="C310" s="17" t="s">
        <v>1053</v>
      </c>
    </row>
    <row r="311" spans="3:3">
      <c r="C311" s="17" t="s">
        <v>1046</v>
      </c>
    </row>
    <row r="312" spans="3:3">
      <c r="C312" s="17" t="s">
        <v>1316</v>
      </c>
    </row>
    <row r="313" spans="3:3">
      <c r="C313" s="17" t="s">
        <v>1469</v>
      </c>
    </row>
    <row r="314" spans="3:3">
      <c r="C314" s="17" t="s">
        <v>1213</v>
      </c>
    </row>
    <row r="315" spans="3:3">
      <c r="C315" s="17" t="s">
        <v>1134</v>
      </c>
    </row>
    <row r="316" spans="3:3">
      <c r="C316" s="17" t="s">
        <v>1135</v>
      </c>
    </row>
    <row r="317" spans="3:3">
      <c r="C317" s="17" t="s">
        <v>1313</v>
      </c>
    </row>
    <row r="318" spans="3:3">
      <c r="C318" s="17" t="s">
        <v>1104</v>
      </c>
    </row>
    <row r="319" spans="3:3">
      <c r="C319" s="17" t="s">
        <v>1143</v>
      </c>
    </row>
    <row r="320" spans="3:3">
      <c r="C320" s="17" t="s">
        <v>1114</v>
      </c>
    </row>
    <row r="321" spans="3:3">
      <c r="C321" s="17" t="s">
        <v>1032</v>
      </c>
    </row>
    <row r="322" spans="3:3">
      <c r="C322" s="17" t="s">
        <v>1173</v>
      </c>
    </row>
    <row r="323" spans="3:3">
      <c r="C323" s="17" t="s">
        <v>1047</v>
      </c>
    </row>
    <row r="324" spans="3:3">
      <c r="C324" s="17" t="s">
        <v>1086</v>
      </c>
    </row>
    <row r="325" spans="3:3">
      <c r="C325" s="17" t="s">
        <v>1087</v>
      </c>
    </row>
    <row r="326" spans="3:3">
      <c r="C326" s="17" t="s">
        <v>1345</v>
      </c>
    </row>
    <row r="327" spans="3:3">
      <c r="C327" s="17" t="s">
        <v>1155</v>
      </c>
    </row>
    <row r="328" spans="3:3">
      <c r="C328" s="17" t="s">
        <v>1190</v>
      </c>
    </row>
    <row r="329" spans="3:3">
      <c r="C329" s="17" t="s">
        <v>1144</v>
      </c>
    </row>
    <row r="330" spans="3:3">
      <c r="C330" s="17" t="s">
        <v>1354</v>
      </c>
    </row>
    <row r="331" spans="3:3">
      <c r="C331" s="17" t="s">
        <v>1214</v>
      </c>
    </row>
    <row r="332" spans="3:3">
      <c r="C332" s="17" t="s">
        <v>1175</v>
      </c>
    </row>
    <row r="333" spans="3:3">
      <c r="C333" s="17" t="s">
        <v>1468</v>
      </c>
    </row>
    <row r="334" spans="3:3">
      <c r="C334" s="17" t="s">
        <v>1101</v>
      </c>
    </row>
    <row r="335" spans="3:3">
      <c r="C335" s="17" t="s">
        <v>1460</v>
      </c>
    </row>
    <row r="336" spans="3:3">
      <c r="C336" s="17" t="s">
        <v>1054</v>
      </c>
    </row>
    <row r="337" spans="3:3">
      <c r="C337" s="17" t="s">
        <v>1255</v>
      </c>
    </row>
    <row r="338" spans="3:3">
      <c r="C338" s="17" t="s">
        <v>1088</v>
      </c>
    </row>
    <row r="339" spans="3:3">
      <c r="C339" s="17" t="s">
        <v>1048</v>
      </c>
    </row>
    <row r="340" spans="3:3">
      <c r="C340" s="17" t="s">
        <v>1089</v>
      </c>
    </row>
    <row r="341" spans="3:3">
      <c r="C341" s="17" t="s">
        <v>1090</v>
      </c>
    </row>
    <row r="342" spans="3:3">
      <c r="C342" s="17" t="s">
        <v>1091</v>
      </c>
    </row>
    <row r="343" spans="3:3">
      <c r="C343" s="17" t="s">
        <v>1092</v>
      </c>
    </row>
    <row r="344" spans="3:3">
      <c r="C344" s="17" t="s">
        <v>1066</v>
      </c>
    </row>
    <row r="345" spans="3:3">
      <c r="C345" s="17" t="s">
        <v>1055</v>
      </c>
    </row>
    <row r="346" spans="3:3">
      <c r="C346" s="17" t="s">
        <v>1336</v>
      </c>
    </row>
    <row r="347" spans="3:3">
      <c r="C347" s="17" t="s">
        <v>1347</v>
      </c>
    </row>
    <row r="348" spans="3:3">
      <c r="C348" s="17" t="s">
        <v>1249</v>
      </c>
    </row>
    <row r="349" spans="3:3">
      <c r="C349" s="17" t="s">
        <v>1241</v>
      </c>
    </row>
    <row r="350" spans="3:3">
      <c r="C350" s="17" t="s">
        <v>1350</v>
      </c>
    </row>
    <row r="351" spans="3:3">
      <c r="C351" s="17" t="s">
        <v>1215</v>
      </c>
    </row>
    <row r="352" spans="3:3">
      <c r="C352" s="17" t="s">
        <v>1169</v>
      </c>
    </row>
    <row r="353" spans="3:3">
      <c r="C353" s="17" t="s">
        <v>1031</v>
      </c>
    </row>
    <row r="354" spans="3:3">
      <c r="C354" s="17" t="s">
        <v>1122</v>
      </c>
    </row>
    <row r="355" spans="3:3">
      <c r="C355" s="17" t="s">
        <v>1342</v>
      </c>
    </row>
    <row r="356" spans="3:3">
      <c r="C356" s="17" t="s">
        <v>1348</v>
      </c>
    </row>
    <row r="357" spans="3:3">
      <c r="C357" s="17" t="s">
        <v>745</v>
      </c>
    </row>
    <row r="358" spans="3:3">
      <c r="C358" s="17" t="s">
        <v>1433</v>
      </c>
    </row>
    <row r="359" spans="3:3">
      <c r="C359" s="17" t="s">
        <v>1366</v>
      </c>
    </row>
    <row r="360" spans="3:3">
      <c r="C360" s="17" t="s">
        <v>627</v>
      </c>
    </row>
    <row r="361" spans="3:3">
      <c r="C361" s="17" t="s">
        <v>1536</v>
      </c>
    </row>
    <row r="362" spans="3:3">
      <c r="C362" s="17" t="s">
        <v>1614</v>
      </c>
    </row>
    <row r="363" spans="3:3">
      <c r="C363" s="17" t="s">
        <v>1359</v>
      </c>
    </row>
    <row r="364" spans="3:3">
      <c r="C364" s="17" t="s">
        <v>546</v>
      </c>
    </row>
    <row r="365" spans="3:3">
      <c r="C365" s="17" t="s">
        <v>649</v>
      </c>
    </row>
    <row r="366" spans="3:3">
      <c r="C366" s="17" t="s">
        <v>883</v>
      </c>
    </row>
    <row r="367" spans="3:3">
      <c r="C367" s="17" t="s">
        <v>814</v>
      </c>
    </row>
    <row r="368" spans="3:3">
      <c r="C368" s="17" t="s">
        <v>1394</v>
      </c>
    </row>
    <row r="369" spans="3:3">
      <c r="C369" s="17" t="s">
        <v>633</v>
      </c>
    </row>
    <row r="370" spans="3:3">
      <c r="C370" s="17" t="s">
        <v>750</v>
      </c>
    </row>
    <row r="371" spans="3:3">
      <c r="C371" s="17" t="s">
        <v>957</v>
      </c>
    </row>
    <row r="372" spans="3:3">
      <c r="C372" s="17" t="s">
        <v>650</v>
      </c>
    </row>
    <row r="373" spans="3:3">
      <c r="C373" s="17" t="s">
        <v>1379</v>
      </c>
    </row>
    <row r="374" spans="3:3">
      <c r="C374" s="17" t="s">
        <v>589</v>
      </c>
    </row>
    <row r="375" spans="3:3">
      <c r="C375" s="17" t="s">
        <v>568</v>
      </c>
    </row>
    <row r="376" spans="3:3">
      <c r="C376" s="17" t="s">
        <v>868</v>
      </c>
    </row>
    <row r="377" spans="3:3">
      <c r="C377" s="17" t="s">
        <v>793</v>
      </c>
    </row>
    <row r="378" spans="3:3">
      <c r="C378" s="17" t="s">
        <v>1415</v>
      </c>
    </row>
    <row r="379" spans="3:3">
      <c r="C379" s="17" t="s">
        <v>637</v>
      </c>
    </row>
    <row r="380" spans="3:3">
      <c r="C380" s="17" t="s">
        <v>1434</v>
      </c>
    </row>
    <row r="381" spans="3:3">
      <c r="C381" s="17" t="s">
        <v>671</v>
      </c>
    </row>
    <row r="382" spans="3:3">
      <c r="C382" s="17" t="s">
        <v>869</v>
      </c>
    </row>
    <row r="383" spans="3:3">
      <c r="C383" s="17" t="s">
        <v>937</v>
      </c>
    </row>
    <row r="384" spans="3:3">
      <c r="C384" s="17" t="s">
        <v>1417</v>
      </c>
    </row>
    <row r="385" spans="3:3">
      <c r="C385" s="17" t="s">
        <v>527</v>
      </c>
    </row>
    <row r="386" spans="3:3">
      <c r="C386" s="17" t="s">
        <v>848</v>
      </c>
    </row>
    <row r="387" spans="3:3">
      <c r="C387" s="17" t="s">
        <v>519</v>
      </c>
    </row>
    <row r="388" spans="3:3">
      <c r="C388" s="17" t="s">
        <v>1398</v>
      </c>
    </row>
    <row r="389" spans="3:3">
      <c r="C389" s="17" t="s">
        <v>566</v>
      </c>
    </row>
    <row r="390" spans="3:3">
      <c r="C390" s="17" t="s">
        <v>1625</v>
      </c>
    </row>
    <row r="391" spans="3:3">
      <c r="C391" s="17" t="s">
        <v>999</v>
      </c>
    </row>
    <row r="392" spans="3:3">
      <c r="C392" s="17" t="s">
        <v>1364</v>
      </c>
    </row>
    <row r="393" spans="3:3">
      <c r="C393" s="17" t="s">
        <v>540</v>
      </c>
    </row>
    <row r="394" spans="3:3">
      <c r="C394" s="17" t="s">
        <v>1392</v>
      </c>
    </row>
    <row r="395" spans="3:3">
      <c r="C395" s="17" t="s">
        <v>541</v>
      </c>
    </row>
    <row r="396" spans="3:3">
      <c r="C396" s="17" t="s">
        <v>870</v>
      </c>
    </row>
    <row r="397" spans="3:3">
      <c r="C397" s="17" t="s">
        <v>964</v>
      </c>
    </row>
    <row r="398" spans="3:3">
      <c r="C398" s="17" t="s">
        <v>1361</v>
      </c>
    </row>
    <row r="399" spans="3:3">
      <c r="C399" s="17" t="s">
        <v>528</v>
      </c>
    </row>
    <row r="400" spans="3:3">
      <c r="C400" s="17" t="s">
        <v>912</v>
      </c>
    </row>
    <row r="401" spans="3:3">
      <c r="C401" s="17" t="s">
        <v>775</v>
      </c>
    </row>
    <row r="402" spans="3:3">
      <c r="C402" s="17" t="s">
        <v>547</v>
      </c>
    </row>
    <row r="403" spans="3:3">
      <c r="C403" s="17" t="s">
        <v>945</v>
      </c>
    </row>
    <row r="404" spans="3:3">
      <c r="C404" s="17" t="s">
        <v>776</v>
      </c>
    </row>
    <row r="405" spans="3:3">
      <c r="C405" s="17" t="s">
        <v>647</v>
      </c>
    </row>
    <row r="406" spans="3:3">
      <c r="C406" s="17" t="s">
        <v>728</v>
      </c>
    </row>
    <row r="407" spans="3:3">
      <c r="C407" s="17" t="s">
        <v>1384</v>
      </c>
    </row>
    <row r="408" spans="3:3">
      <c r="C408" s="17" t="s">
        <v>510</v>
      </c>
    </row>
    <row r="409" spans="3:3">
      <c r="C409" s="17" t="s">
        <v>672</v>
      </c>
    </row>
    <row r="410" spans="3:3">
      <c r="C410" s="17" t="s">
        <v>1371</v>
      </c>
    </row>
    <row r="411" spans="3:3">
      <c r="C411" s="17" t="s">
        <v>509</v>
      </c>
    </row>
    <row r="412" spans="3:3">
      <c r="C412" s="17" t="s">
        <v>979</v>
      </c>
    </row>
    <row r="413" spans="3:3">
      <c r="C413" s="17" t="s">
        <v>583</v>
      </c>
    </row>
    <row r="414" spans="3:3">
      <c r="C414" s="17" t="s">
        <v>1374</v>
      </c>
    </row>
    <row r="415" spans="3:3">
      <c r="C415" s="17" t="s">
        <v>112</v>
      </c>
    </row>
    <row r="416" spans="3:3">
      <c r="C416" s="17" t="s">
        <v>1004</v>
      </c>
    </row>
    <row r="417" spans="3:3">
      <c r="C417" s="17" t="s">
        <v>756</v>
      </c>
    </row>
    <row r="418" spans="3:3">
      <c r="C418" s="17" t="s">
        <v>777</v>
      </c>
    </row>
    <row r="419" spans="3:3">
      <c r="C419" s="17" t="s">
        <v>849</v>
      </c>
    </row>
    <row r="420" spans="3:3">
      <c r="C420" s="17" t="s">
        <v>738</v>
      </c>
    </row>
    <row r="421" spans="3:3">
      <c r="C421" s="17" t="s">
        <v>794</v>
      </c>
    </row>
    <row r="422" spans="3:3">
      <c r="C422" s="17" t="s">
        <v>871</v>
      </c>
    </row>
    <row r="423" spans="3:3">
      <c r="C423" s="17" t="s">
        <v>911</v>
      </c>
    </row>
    <row r="424" spans="3:3">
      <c r="C424" s="17" t="s">
        <v>1006</v>
      </c>
    </row>
    <row r="425" spans="3:3">
      <c r="C425" s="17" t="s">
        <v>815</v>
      </c>
    </row>
    <row r="426" spans="3:3">
      <c r="C426" s="17" t="s">
        <v>927</v>
      </c>
    </row>
    <row r="427" spans="3:3">
      <c r="C427" s="17" t="s">
        <v>1474</v>
      </c>
    </row>
    <row r="428" spans="3:3">
      <c r="C428" s="17" t="s">
        <v>1013</v>
      </c>
    </row>
    <row r="429" spans="3:3">
      <c r="C429" s="17" t="s">
        <v>965</v>
      </c>
    </row>
    <row r="430" spans="3:3">
      <c r="C430" s="17" t="s">
        <v>1363</v>
      </c>
    </row>
    <row r="431" spans="3:3">
      <c r="C431" s="17" t="s">
        <v>542</v>
      </c>
    </row>
    <row r="432" spans="3:3">
      <c r="C432" s="17" t="s">
        <v>1390</v>
      </c>
    </row>
    <row r="433" spans="3:3">
      <c r="C433" s="17" t="s">
        <v>514</v>
      </c>
    </row>
    <row r="434" spans="3:3">
      <c r="C434" s="17" t="s">
        <v>620</v>
      </c>
    </row>
    <row r="435" spans="3:3">
      <c r="C435" s="17" t="s">
        <v>903</v>
      </c>
    </row>
    <row r="436" spans="3:3">
      <c r="C436" s="17" t="s">
        <v>739</v>
      </c>
    </row>
    <row r="437" spans="3:3">
      <c r="C437" s="17" t="s">
        <v>1385</v>
      </c>
    </row>
    <row r="438" spans="3:3">
      <c r="C438" s="17" t="s">
        <v>584</v>
      </c>
    </row>
    <row r="439" spans="3:3">
      <c r="C439" s="17" t="s">
        <v>850</v>
      </c>
    </row>
    <row r="440" spans="3:3">
      <c r="C440" s="17" t="s">
        <v>740</v>
      </c>
    </row>
    <row r="441" spans="3:3">
      <c r="C441" s="17" t="s">
        <v>1419</v>
      </c>
    </row>
    <row r="442" spans="3:3">
      <c r="C442" s="17" t="s">
        <v>639</v>
      </c>
    </row>
    <row r="443" spans="3:3">
      <c r="C443" s="17" t="s">
        <v>872</v>
      </c>
    </row>
    <row r="444" spans="3:3">
      <c r="C444" s="17" t="s">
        <v>1404</v>
      </c>
    </row>
    <row r="445" spans="3:3">
      <c r="C445" s="17" t="s">
        <v>610</v>
      </c>
    </row>
    <row r="446" spans="3:3">
      <c r="C446" s="17" t="s">
        <v>831</v>
      </c>
    </row>
    <row r="447" spans="3:3">
      <c r="C447" s="17" t="s">
        <v>917</v>
      </c>
    </row>
    <row r="448" spans="3:3">
      <c r="C448" s="17" t="s">
        <v>918</v>
      </c>
    </row>
    <row r="449" spans="3:3">
      <c r="C449" s="17" t="s">
        <v>778</v>
      </c>
    </row>
    <row r="450" spans="3:3">
      <c r="C450" s="17" t="s">
        <v>1015</v>
      </c>
    </row>
    <row r="451" spans="3:3">
      <c r="C451" s="17" t="s">
        <v>873</v>
      </c>
    </row>
    <row r="452" spans="3:3">
      <c r="C452" s="17" t="s">
        <v>779</v>
      </c>
    </row>
    <row r="453" spans="3:3">
      <c r="C453" s="17" t="s">
        <v>1413</v>
      </c>
    </row>
    <row r="454" spans="3:3">
      <c r="C454" s="17" t="s">
        <v>603</v>
      </c>
    </row>
    <row r="455" spans="3:3">
      <c r="C455" s="17" t="s">
        <v>735</v>
      </c>
    </row>
    <row r="456" spans="3:3">
      <c r="C456" s="17" t="s">
        <v>780</v>
      </c>
    </row>
    <row r="457" spans="3:3">
      <c r="C457" s="17" t="s">
        <v>338</v>
      </c>
    </row>
    <row r="458" spans="3:3">
      <c r="C458" s="17" t="s">
        <v>513</v>
      </c>
    </row>
    <row r="459" spans="3:3">
      <c r="C459" s="17" t="s">
        <v>1423</v>
      </c>
    </row>
    <row r="460" spans="3:3">
      <c r="C460" s="17" t="s">
        <v>1454</v>
      </c>
    </row>
    <row r="461" spans="3:3">
      <c r="C461" s="17" t="s">
        <v>851</v>
      </c>
    </row>
    <row r="462" spans="3:3">
      <c r="C462" s="17" t="s">
        <v>673</v>
      </c>
    </row>
    <row r="463" spans="3:3">
      <c r="C463" s="17" t="s">
        <v>536</v>
      </c>
    </row>
    <row r="464" spans="3:3">
      <c r="C464" s="17" t="s">
        <v>1014</v>
      </c>
    </row>
    <row r="465" spans="3:3">
      <c r="C465" s="17" t="s">
        <v>543</v>
      </c>
    </row>
    <row r="466" spans="3:3">
      <c r="C466" s="17" t="s">
        <v>1009</v>
      </c>
    </row>
    <row r="467" spans="3:3">
      <c r="C467" s="17" t="s">
        <v>599</v>
      </c>
    </row>
    <row r="468" spans="3:3">
      <c r="C468" s="17" t="s">
        <v>874</v>
      </c>
    </row>
    <row r="469" spans="3:3">
      <c r="C469" s="17" t="s">
        <v>884</v>
      </c>
    </row>
    <row r="470" spans="3:3">
      <c r="C470" s="17" t="s">
        <v>781</v>
      </c>
    </row>
    <row r="471" spans="3:3">
      <c r="C471" s="17" t="s">
        <v>996</v>
      </c>
    </row>
    <row r="472" spans="3:3">
      <c r="C472" s="17" t="s">
        <v>1383</v>
      </c>
    </row>
    <row r="473" spans="3:3">
      <c r="C473" s="17" t="s">
        <v>529</v>
      </c>
    </row>
    <row r="474" spans="3:3">
      <c r="C474" s="17" t="s">
        <v>548</v>
      </c>
    </row>
    <row r="475" spans="3:3">
      <c r="C475" s="17" t="s">
        <v>1613</v>
      </c>
    </row>
    <row r="476" spans="3:3">
      <c r="C476" s="17" t="s">
        <v>782</v>
      </c>
    </row>
    <row r="477" spans="3:3">
      <c r="C477" s="17" t="s">
        <v>816</v>
      </c>
    </row>
    <row r="478" spans="3:3">
      <c r="C478" s="17" t="s">
        <v>1539</v>
      </c>
    </row>
    <row r="479" spans="3:3">
      <c r="C479" s="17" t="s">
        <v>1386</v>
      </c>
    </row>
    <row r="480" spans="3:3">
      <c r="C480" s="17" t="s">
        <v>507</v>
      </c>
    </row>
    <row r="481" spans="3:3">
      <c r="C481" s="17" t="s">
        <v>592</v>
      </c>
    </row>
    <row r="482" spans="3:3">
      <c r="C482" s="17" t="s">
        <v>832</v>
      </c>
    </row>
    <row r="483" spans="3:3">
      <c r="C483" s="17" t="s">
        <v>1387</v>
      </c>
    </row>
    <row r="484" spans="3:3">
      <c r="C484" s="17" t="s">
        <v>590</v>
      </c>
    </row>
    <row r="485" spans="3:3">
      <c r="C485" s="17" t="s">
        <v>1463</v>
      </c>
    </row>
    <row r="486" spans="3:3">
      <c r="C486" s="17" t="s">
        <v>558</v>
      </c>
    </row>
    <row r="487" spans="3:3">
      <c r="C487" s="17" t="s">
        <v>913</v>
      </c>
    </row>
    <row r="488" spans="3:3">
      <c r="C488" s="17" t="s">
        <v>668</v>
      </c>
    </row>
    <row r="489" spans="3:3">
      <c r="C489" s="17" t="s">
        <v>549</v>
      </c>
    </row>
    <row r="490" spans="3:3">
      <c r="C490" s="17" t="s">
        <v>1381</v>
      </c>
    </row>
    <row r="491" spans="3:3">
      <c r="C491" s="17" t="s">
        <v>617</v>
      </c>
    </row>
    <row r="492" spans="3:3">
      <c r="C492" s="17" t="s">
        <v>1462</v>
      </c>
    </row>
    <row r="493" spans="3:3">
      <c r="C493" s="17" t="s">
        <v>1355</v>
      </c>
    </row>
    <row r="494" spans="3:3">
      <c r="C494" s="17" t="s">
        <v>1403</v>
      </c>
    </row>
    <row r="495" spans="3:3">
      <c r="C495" s="17" t="s">
        <v>565</v>
      </c>
    </row>
    <row r="496" spans="3:3">
      <c r="C496" s="17" t="s">
        <v>563</v>
      </c>
    </row>
    <row r="497" spans="3:3">
      <c r="C497" s="17" t="s">
        <v>506</v>
      </c>
    </row>
    <row r="498" spans="3:3">
      <c r="C498" s="17" t="s">
        <v>938</v>
      </c>
    </row>
    <row r="499" spans="3:3">
      <c r="C499" s="17" t="s">
        <v>550</v>
      </c>
    </row>
    <row r="500" spans="3:3">
      <c r="C500" s="17" t="s">
        <v>991</v>
      </c>
    </row>
    <row r="501" spans="3:3">
      <c r="C501" s="17" t="s">
        <v>939</v>
      </c>
    </row>
    <row r="502" spans="3:3">
      <c r="C502" s="17" t="s">
        <v>885</v>
      </c>
    </row>
    <row r="503" spans="3:3">
      <c r="C503" s="17" t="s">
        <v>795</v>
      </c>
    </row>
    <row r="504" spans="3:3">
      <c r="C504" s="17" t="s">
        <v>886</v>
      </c>
    </row>
    <row r="505" spans="3:3">
      <c r="C505" s="17" t="s">
        <v>343</v>
      </c>
    </row>
    <row r="506" spans="3:3">
      <c r="C506" s="17" t="s">
        <v>972</v>
      </c>
    </row>
    <row r="507" spans="3:3">
      <c r="C507" s="17" t="s">
        <v>674</v>
      </c>
    </row>
    <row r="508" spans="3:3">
      <c r="C508" s="17" t="s">
        <v>875</v>
      </c>
    </row>
    <row r="509" spans="3:3">
      <c r="C509" s="17" t="s">
        <v>852</v>
      </c>
    </row>
    <row r="510" spans="3:3">
      <c r="C510" s="17" t="s">
        <v>1405</v>
      </c>
    </row>
    <row r="511" spans="3:3">
      <c r="C511" s="17" t="s">
        <v>629</v>
      </c>
    </row>
    <row r="512" spans="3:3">
      <c r="C512" s="17" t="s">
        <v>914</v>
      </c>
    </row>
    <row r="513" spans="3:3">
      <c r="C513" s="17" t="s">
        <v>1016</v>
      </c>
    </row>
    <row r="514" spans="3:3">
      <c r="C514" s="17" t="s">
        <v>1019</v>
      </c>
    </row>
    <row r="515" spans="3:3">
      <c r="C515" s="17" t="s">
        <v>967</v>
      </c>
    </row>
    <row r="516" spans="3:3">
      <c r="C516" s="17" t="s">
        <v>891</v>
      </c>
    </row>
    <row r="517" spans="3:3">
      <c r="C517" s="17" t="s">
        <v>796</v>
      </c>
    </row>
    <row r="518" spans="3:3">
      <c r="C518" s="17" t="s">
        <v>725</v>
      </c>
    </row>
    <row r="519" spans="3:3">
      <c r="C519" s="17" t="s">
        <v>946</v>
      </c>
    </row>
    <row r="520" spans="3:3">
      <c r="C520" s="17" t="s">
        <v>622</v>
      </c>
    </row>
    <row r="521" spans="3:3">
      <c r="C521" s="17" t="s">
        <v>607</v>
      </c>
    </row>
    <row r="522" spans="3:3">
      <c r="C522" s="17" t="s">
        <v>797</v>
      </c>
    </row>
    <row r="523" spans="3:3">
      <c r="C523" s="17" t="s">
        <v>642</v>
      </c>
    </row>
    <row r="524" spans="3:3">
      <c r="C524" s="17" t="s">
        <v>953</v>
      </c>
    </row>
    <row r="525" spans="3:3">
      <c r="C525" s="17" t="s">
        <v>1447</v>
      </c>
    </row>
    <row r="526" spans="3:3">
      <c r="C526" s="17" t="s">
        <v>928</v>
      </c>
    </row>
    <row r="527" spans="3:3">
      <c r="C527" s="17" t="s">
        <v>651</v>
      </c>
    </row>
    <row r="528" spans="3:3">
      <c r="C528" s="17" t="s">
        <v>675</v>
      </c>
    </row>
    <row r="529" spans="3:3">
      <c r="C529" s="17" t="s">
        <v>612</v>
      </c>
    </row>
    <row r="530" spans="3:3">
      <c r="C530" s="17" t="s">
        <v>544</v>
      </c>
    </row>
    <row r="531" spans="3:3">
      <c r="C531" s="17" t="s">
        <v>1406</v>
      </c>
    </row>
    <row r="532" spans="3:3">
      <c r="C532" s="17" t="s">
        <v>520</v>
      </c>
    </row>
    <row r="533" spans="3:3">
      <c r="C533" s="17" t="s">
        <v>764</v>
      </c>
    </row>
    <row r="534" spans="3:3">
      <c r="C534" s="17" t="s">
        <v>676</v>
      </c>
    </row>
    <row r="535" spans="3:3">
      <c r="C535" s="17" t="s">
        <v>652</v>
      </c>
    </row>
    <row r="536" spans="3:3">
      <c r="C536" s="17" t="s">
        <v>677</v>
      </c>
    </row>
    <row r="537" spans="3:3">
      <c r="C537" s="17" t="s">
        <v>876</v>
      </c>
    </row>
    <row r="538" spans="3:3">
      <c r="C538" s="17" t="s">
        <v>653</v>
      </c>
    </row>
    <row r="539" spans="3:3">
      <c r="C539" s="17" t="s">
        <v>929</v>
      </c>
    </row>
    <row r="540" spans="3:3">
      <c r="C540" s="17" t="s">
        <v>572</v>
      </c>
    </row>
    <row r="541" spans="3:3">
      <c r="C541" s="17" t="s">
        <v>669</v>
      </c>
    </row>
    <row r="542" spans="3:3">
      <c r="C542" s="17" t="s">
        <v>669</v>
      </c>
    </row>
    <row r="543" spans="3:3">
      <c r="C543" s="17" t="s">
        <v>947</v>
      </c>
    </row>
    <row r="544" spans="3:3">
      <c r="C544" s="17" t="s">
        <v>551</v>
      </c>
    </row>
    <row r="545" spans="3:3">
      <c r="C545" s="17" t="s">
        <v>765</v>
      </c>
    </row>
    <row r="546" spans="3:3">
      <c r="C546" s="17" t="s">
        <v>511</v>
      </c>
    </row>
    <row r="547" spans="3:3">
      <c r="C547" s="17" t="s">
        <v>892</v>
      </c>
    </row>
    <row r="548" spans="3:3">
      <c r="C548" s="17" t="s">
        <v>833</v>
      </c>
    </row>
    <row r="549" spans="3:3">
      <c r="C549" s="17" t="s">
        <v>853</v>
      </c>
    </row>
    <row r="550" spans="3:3">
      <c r="C550" s="17" t="s">
        <v>654</v>
      </c>
    </row>
    <row r="551" spans="3:3">
      <c r="C551" s="17" t="s">
        <v>783</v>
      </c>
    </row>
    <row r="552" spans="3:3">
      <c r="C552" s="17" t="s">
        <v>678</v>
      </c>
    </row>
    <row r="553" spans="3:3">
      <c r="C553" s="17" t="s">
        <v>679</v>
      </c>
    </row>
    <row r="554" spans="3:3">
      <c r="C554" s="17" t="s">
        <v>680</v>
      </c>
    </row>
    <row r="555" spans="3:3">
      <c r="C555" s="17" t="s">
        <v>681</v>
      </c>
    </row>
    <row r="556" spans="3:3">
      <c r="C556" s="17" t="s">
        <v>682</v>
      </c>
    </row>
    <row r="557" spans="3:3">
      <c r="C557" s="17" t="s">
        <v>683</v>
      </c>
    </row>
    <row r="558" spans="3:3">
      <c r="C558" s="17" t="s">
        <v>684</v>
      </c>
    </row>
    <row r="559" spans="3:3">
      <c r="C559" s="17" t="s">
        <v>685</v>
      </c>
    </row>
    <row r="560" spans="3:3">
      <c r="C560" s="17" t="s">
        <v>686</v>
      </c>
    </row>
    <row r="561" spans="3:3">
      <c r="C561" s="17" t="s">
        <v>687</v>
      </c>
    </row>
    <row r="562" spans="3:3">
      <c r="C562" s="17" t="s">
        <v>559</v>
      </c>
    </row>
    <row r="563" spans="3:3">
      <c r="C563" s="17" t="s">
        <v>1393</v>
      </c>
    </row>
    <row r="564" spans="3:3">
      <c r="C564" s="17" t="s">
        <v>576</v>
      </c>
    </row>
    <row r="565" spans="3:3">
      <c r="C565" s="17" t="s">
        <v>798</v>
      </c>
    </row>
    <row r="566" spans="3:3">
      <c r="C566" s="17" t="s">
        <v>552</v>
      </c>
    </row>
    <row r="567" spans="3:3">
      <c r="C567" s="17" t="s">
        <v>1395</v>
      </c>
    </row>
    <row r="568" spans="3:3">
      <c r="C568" s="17" t="s">
        <v>784</v>
      </c>
    </row>
    <row r="569" spans="3:3">
      <c r="C569" s="17" t="s">
        <v>956</v>
      </c>
    </row>
    <row r="570" spans="3:3">
      <c r="C570" s="17" t="s">
        <v>688</v>
      </c>
    </row>
    <row r="571" spans="3:3">
      <c r="C571" s="17" t="s">
        <v>988</v>
      </c>
    </row>
    <row r="572" spans="3:3">
      <c r="C572" s="17" t="s">
        <v>877</v>
      </c>
    </row>
    <row r="573" spans="3:3">
      <c r="C573" s="17" t="s">
        <v>823</v>
      </c>
    </row>
    <row r="574" spans="3:3">
      <c r="C574" s="17" t="s">
        <v>573</v>
      </c>
    </row>
    <row r="575" spans="3:3">
      <c r="C575" s="17" t="s">
        <v>577</v>
      </c>
    </row>
    <row r="576" spans="3:3">
      <c r="C576" s="17" t="s">
        <v>530</v>
      </c>
    </row>
    <row r="577" spans="3:3">
      <c r="C577" s="17" t="s">
        <v>995</v>
      </c>
    </row>
    <row r="578" spans="3:3">
      <c r="C578" s="17" t="s">
        <v>1007</v>
      </c>
    </row>
    <row r="579" spans="3:3">
      <c r="C579" s="17" t="s">
        <v>648</v>
      </c>
    </row>
    <row r="580" spans="3:3">
      <c r="C580" s="17" t="s">
        <v>689</v>
      </c>
    </row>
    <row r="581" spans="3:3">
      <c r="C581" s="17" t="s">
        <v>624</v>
      </c>
    </row>
    <row r="582" spans="3:3">
      <c r="C582" s="17" t="s">
        <v>690</v>
      </c>
    </row>
    <row r="583" spans="3:3">
      <c r="C583" s="17" t="s">
        <v>691</v>
      </c>
    </row>
    <row r="584" spans="3:3">
      <c r="C584" s="17" t="s">
        <v>854</v>
      </c>
    </row>
    <row r="585" spans="3:3">
      <c r="C585" s="17" t="s">
        <v>1457</v>
      </c>
    </row>
    <row r="586" spans="3:3">
      <c r="C586" s="9" t="s">
        <v>1548</v>
      </c>
    </row>
    <row r="587" spans="3:3">
      <c r="C587" s="17" t="s">
        <v>1391</v>
      </c>
    </row>
    <row r="588" spans="3:3">
      <c r="C588" s="17" t="s">
        <v>531</v>
      </c>
    </row>
    <row r="589" spans="3:3">
      <c r="C589" s="17" t="s">
        <v>958</v>
      </c>
    </row>
    <row r="590" spans="3:3">
      <c r="C590" s="17" t="s">
        <v>692</v>
      </c>
    </row>
    <row r="591" spans="3:3">
      <c r="C591" s="17" t="s">
        <v>574</v>
      </c>
    </row>
    <row r="592" spans="3:3">
      <c r="C592" s="17" t="s">
        <v>834</v>
      </c>
    </row>
    <row r="593" spans="3:3">
      <c r="C593" s="17" t="s">
        <v>835</v>
      </c>
    </row>
    <row r="594" spans="3:3">
      <c r="C594" s="17" t="s">
        <v>961</v>
      </c>
    </row>
    <row r="595" spans="3:3">
      <c r="C595" s="17" t="s">
        <v>836</v>
      </c>
    </row>
    <row r="596" spans="3:3">
      <c r="C596" s="17" t="s">
        <v>973</v>
      </c>
    </row>
    <row r="597" spans="3:3">
      <c r="C597" s="17" t="s">
        <v>1378</v>
      </c>
    </row>
    <row r="598" spans="3:3">
      <c r="C598" s="17" t="s">
        <v>537</v>
      </c>
    </row>
    <row r="599" spans="3:3">
      <c r="C599" s="17" t="s">
        <v>1389</v>
      </c>
    </row>
    <row r="600" spans="3:3">
      <c r="C600" s="17" t="s">
        <v>538</v>
      </c>
    </row>
    <row r="601" spans="3:3">
      <c r="C601" s="17" t="s">
        <v>989</v>
      </c>
    </row>
    <row r="602" spans="3:3">
      <c r="C602" s="17" t="s">
        <v>585</v>
      </c>
    </row>
    <row r="603" spans="3:3">
      <c r="C603" s="17" t="s">
        <v>907</v>
      </c>
    </row>
    <row r="604" spans="3:3">
      <c r="C604" s="17" t="s">
        <v>741</v>
      </c>
    </row>
    <row r="605" spans="3:3">
      <c r="C605" s="17" t="s">
        <v>535</v>
      </c>
    </row>
    <row r="606" spans="3:3">
      <c r="C606" s="17" t="s">
        <v>960</v>
      </c>
    </row>
    <row r="607" spans="3:3">
      <c r="C607" s="17" t="s">
        <v>855</v>
      </c>
    </row>
    <row r="608" spans="3:3">
      <c r="C608" s="17" t="s">
        <v>763</v>
      </c>
    </row>
    <row r="609" spans="3:3">
      <c r="C609" s="17" t="s">
        <v>847</v>
      </c>
    </row>
    <row r="610" spans="3:3">
      <c r="C610" s="17" t="s">
        <v>899</v>
      </c>
    </row>
    <row r="611" spans="3:3">
      <c r="C611" s="17" t="s">
        <v>968</v>
      </c>
    </row>
    <row r="612" spans="3:3">
      <c r="C612" s="17" t="s">
        <v>856</v>
      </c>
    </row>
    <row r="613" spans="3:3">
      <c r="C613" s="17" t="s">
        <v>693</v>
      </c>
    </row>
    <row r="614" spans="3:3">
      <c r="C614" s="17" t="s">
        <v>1442</v>
      </c>
    </row>
    <row r="615" spans="3:3">
      <c r="C615" s="17" t="s">
        <v>837</v>
      </c>
    </row>
    <row r="616" spans="3:3">
      <c r="C616" s="17" t="s">
        <v>785</v>
      </c>
    </row>
    <row r="617" spans="3:3">
      <c r="C617" s="17" t="s">
        <v>752</v>
      </c>
    </row>
    <row r="618" spans="3:3">
      <c r="C618" s="17" t="s">
        <v>646</v>
      </c>
    </row>
    <row r="619" spans="3:3">
      <c r="C619" s="17" t="s">
        <v>915</v>
      </c>
    </row>
    <row r="620" spans="3:3">
      <c r="C620" s="17" t="s">
        <v>786</v>
      </c>
    </row>
    <row r="621" spans="3:3">
      <c r="C621" s="17" t="s">
        <v>824</v>
      </c>
    </row>
    <row r="622" spans="3:3">
      <c r="C622" s="17" t="s">
        <v>919</v>
      </c>
    </row>
    <row r="623" spans="3:3">
      <c r="C623" s="17" t="s">
        <v>694</v>
      </c>
    </row>
    <row r="624" spans="3:3">
      <c r="C624" s="17" t="s">
        <v>655</v>
      </c>
    </row>
    <row r="625" spans="3:3">
      <c r="C625" s="17" t="s">
        <v>747</v>
      </c>
    </row>
    <row r="626" spans="3:3">
      <c r="C626" s="17" t="s">
        <v>822</v>
      </c>
    </row>
    <row r="627" spans="3:3">
      <c r="C627" s="17" t="s">
        <v>878</v>
      </c>
    </row>
    <row r="628" spans="3:3">
      <c r="C628" s="17" t="s">
        <v>656</v>
      </c>
    </row>
    <row r="629" spans="3:3">
      <c r="C629" s="17" t="s">
        <v>657</v>
      </c>
    </row>
    <row r="630" spans="3:3">
      <c r="C630" s="17" t="s">
        <v>695</v>
      </c>
    </row>
    <row r="631" spans="3:3">
      <c r="C631" s="17" t="s">
        <v>729</v>
      </c>
    </row>
    <row r="632" spans="3:3">
      <c r="C632" s="17" t="s">
        <v>696</v>
      </c>
    </row>
    <row r="633" spans="3:3">
      <c r="C633" s="17" t="s">
        <v>697</v>
      </c>
    </row>
    <row r="634" spans="3:3">
      <c r="C634" s="17" t="s">
        <v>532</v>
      </c>
    </row>
    <row r="635" spans="3:3">
      <c r="C635" s="17" t="s">
        <v>1400</v>
      </c>
    </row>
    <row r="636" spans="3:3">
      <c r="C636" s="17" t="s">
        <v>545</v>
      </c>
    </row>
    <row r="637" spans="3:3">
      <c r="C637" s="17" t="s">
        <v>734</v>
      </c>
    </row>
    <row r="638" spans="3:3">
      <c r="C638" s="17" t="s">
        <v>611</v>
      </c>
    </row>
    <row r="639" spans="3:3">
      <c r="C639" s="17" t="s">
        <v>1358</v>
      </c>
    </row>
    <row r="640" spans="3:3">
      <c r="C640" s="17" t="s">
        <v>533</v>
      </c>
    </row>
    <row r="641" spans="3:3">
      <c r="C641" s="17" t="s">
        <v>698</v>
      </c>
    </row>
    <row r="642" spans="3:3">
      <c r="C642" s="17" t="s">
        <v>604</v>
      </c>
    </row>
    <row r="643" spans="3:3">
      <c r="C643" s="17" t="s">
        <v>1003</v>
      </c>
    </row>
    <row r="644" spans="3:3">
      <c r="C644" s="17" t="s">
        <v>602</v>
      </c>
    </row>
    <row r="645" spans="3:3">
      <c r="C645" s="17" t="s">
        <v>1375</v>
      </c>
    </row>
    <row r="646" spans="3:3">
      <c r="C646" s="17" t="s">
        <v>512</v>
      </c>
    </row>
    <row r="647" spans="3:3">
      <c r="C647" s="17" t="s">
        <v>920</v>
      </c>
    </row>
    <row r="648" spans="3:3">
      <c r="C648" s="17" t="s">
        <v>817</v>
      </c>
    </row>
    <row r="649" spans="3:3">
      <c r="C649" s="17" t="s">
        <v>699</v>
      </c>
    </row>
    <row r="650" spans="3:3">
      <c r="C650" s="17" t="s">
        <v>787</v>
      </c>
    </row>
    <row r="651" spans="3:3">
      <c r="C651" s="17" t="s">
        <v>700</v>
      </c>
    </row>
    <row r="652" spans="3:3">
      <c r="C652" s="17" t="s">
        <v>701</v>
      </c>
    </row>
    <row r="653" spans="3:3">
      <c r="C653" s="17" t="s">
        <v>948</v>
      </c>
    </row>
    <row r="654" spans="3:3">
      <c r="C654" s="17" t="s">
        <v>567</v>
      </c>
    </row>
    <row r="655" spans="3:3">
      <c r="C655" s="17" t="s">
        <v>748</v>
      </c>
    </row>
    <row r="656" spans="3:3">
      <c r="C656" s="17" t="s">
        <v>799</v>
      </c>
    </row>
    <row r="657" spans="3:3">
      <c r="C657" s="17" t="s">
        <v>560</v>
      </c>
    </row>
    <row r="658" spans="3:3">
      <c r="C658" s="17" t="s">
        <v>736</v>
      </c>
    </row>
    <row r="659" spans="3:3">
      <c r="C659" s="17" t="s">
        <v>908</v>
      </c>
    </row>
    <row r="660" spans="3:3">
      <c r="C660" s="17" t="s">
        <v>838</v>
      </c>
    </row>
    <row r="661" spans="3:3">
      <c r="C661" s="17" t="s">
        <v>702</v>
      </c>
    </row>
    <row r="662" spans="3:3">
      <c r="C662" s="17" t="s">
        <v>561</v>
      </c>
    </row>
    <row r="663" spans="3:3">
      <c r="C663" s="17" t="s">
        <v>619</v>
      </c>
    </row>
    <row r="664" spans="3:3">
      <c r="C664" s="17" t="s">
        <v>766</v>
      </c>
    </row>
    <row r="665" spans="3:3">
      <c r="C665" s="17" t="s">
        <v>742</v>
      </c>
    </row>
    <row r="666" spans="3:3">
      <c r="C666" s="17" t="s">
        <v>757</v>
      </c>
    </row>
    <row r="667" spans="3:3">
      <c r="C667" s="17" t="s">
        <v>818</v>
      </c>
    </row>
    <row r="668" spans="3:3">
      <c r="C668" s="17" t="s">
        <v>954</v>
      </c>
    </row>
    <row r="669" spans="3:3">
      <c r="C669" s="17" t="s">
        <v>727</v>
      </c>
    </row>
    <row r="670" spans="3:3">
      <c r="C670" s="17" t="s">
        <v>900</v>
      </c>
    </row>
    <row r="671" spans="3:3">
      <c r="C671" s="17" t="s">
        <v>758</v>
      </c>
    </row>
    <row r="672" spans="3:3">
      <c r="C672" s="17" t="s">
        <v>904</v>
      </c>
    </row>
    <row r="673" spans="3:3">
      <c r="C673" s="17" t="s">
        <v>751</v>
      </c>
    </row>
    <row r="674" spans="3:3">
      <c r="C674" s="17" t="s">
        <v>1453</v>
      </c>
    </row>
    <row r="675" spans="3:3">
      <c r="C675" s="17" t="s">
        <v>1473</v>
      </c>
    </row>
    <row r="676" spans="3:3">
      <c r="C676" s="17" t="s">
        <v>588</v>
      </c>
    </row>
    <row r="677" spans="3:3">
      <c r="C677" s="17" t="s">
        <v>893</v>
      </c>
    </row>
    <row r="678" spans="3:3">
      <c r="C678" s="17" t="s">
        <v>1540</v>
      </c>
    </row>
    <row r="679" spans="3:3">
      <c r="C679" s="17" t="s">
        <v>1456</v>
      </c>
    </row>
    <row r="680" spans="3:3">
      <c r="C680" s="17" t="s">
        <v>788</v>
      </c>
    </row>
    <row r="681" spans="3:3">
      <c r="C681" s="17" t="s">
        <v>982</v>
      </c>
    </row>
    <row r="682" spans="3:3">
      <c r="C682" s="17" t="s">
        <v>767</v>
      </c>
    </row>
    <row r="683" spans="3:3">
      <c r="C683" s="17" t="s">
        <v>971</v>
      </c>
    </row>
    <row r="684" spans="3:3">
      <c r="C684" s="17" t="s">
        <v>905</v>
      </c>
    </row>
    <row r="685" spans="3:3">
      <c r="C685" s="17" t="s">
        <v>703</v>
      </c>
    </row>
    <row r="686" spans="3:3">
      <c r="C686" s="17" t="s">
        <v>521</v>
      </c>
    </row>
    <row r="687" spans="3:3">
      <c r="C687" s="17" t="s">
        <v>1382</v>
      </c>
    </row>
    <row r="688" spans="3:3">
      <c r="C688" s="17" t="s">
        <v>606</v>
      </c>
    </row>
    <row r="689" spans="3:3">
      <c r="C689" s="17" t="s">
        <v>800</v>
      </c>
    </row>
    <row r="690" spans="3:3">
      <c r="C690" s="17" t="s">
        <v>789</v>
      </c>
    </row>
    <row r="691" spans="3:3">
      <c r="C691" s="17" t="s">
        <v>1005</v>
      </c>
    </row>
    <row r="692" spans="3:3">
      <c r="C692" s="17" t="s">
        <v>614</v>
      </c>
    </row>
    <row r="693" spans="3:3">
      <c r="C693" s="17" t="s">
        <v>909</v>
      </c>
    </row>
    <row r="694" spans="3:3">
      <c r="C694" s="17" t="s">
        <v>839</v>
      </c>
    </row>
    <row r="695" spans="3:3">
      <c r="C695" s="17" t="s">
        <v>759</v>
      </c>
    </row>
    <row r="696" spans="3:3">
      <c r="C696" s="17" t="s">
        <v>1407</v>
      </c>
    </row>
    <row r="697" spans="3:3">
      <c r="C697" s="17" t="s">
        <v>571</v>
      </c>
    </row>
    <row r="698" spans="3:3">
      <c r="C698" s="17" t="s">
        <v>553</v>
      </c>
    </row>
    <row r="699" spans="3:3">
      <c r="C699" s="17" t="s">
        <v>896</v>
      </c>
    </row>
    <row r="700" spans="3:3">
      <c r="C700" s="17" t="s">
        <v>768</v>
      </c>
    </row>
    <row r="701" spans="3:3">
      <c r="C701" s="17" t="s">
        <v>658</v>
      </c>
    </row>
    <row r="702" spans="3:3">
      <c r="C702" s="17" t="s">
        <v>857</v>
      </c>
    </row>
    <row r="703" spans="3:3">
      <c r="C703" s="17" t="s">
        <v>975</v>
      </c>
    </row>
    <row r="704" spans="3:3">
      <c r="C704" s="17" t="s">
        <v>554</v>
      </c>
    </row>
    <row r="705" spans="3:3">
      <c r="C705" s="17" t="s">
        <v>901</v>
      </c>
    </row>
    <row r="706" spans="3:3">
      <c r="C706" s="17" t="s">
        <v>704</v>
      </c>
    </row>
    <row r="707" spans="3:3">
      <c r="C707" s="17" t="s">
        <v>618</v>
      </c>
    </row>
    <row r="708" spans="3:3">
      <c r="C708" s="17" t="s">
        <v>858</v>
      </c>
    </row>
    <row r="709" spans="3:3">
      <c r="C709" s="17" t="s">
        <v>1362</v>
      </c>
    </row>
    <row r="710" spans="3:3">
      <c r="C710" s="17" t="s">
        <v>517</v>
      </c>
    </row>
    <row r="711" spans="3:3">
      <c r="C711" s="17" t="s">
        <v>859</v>
      </c>
    </row>
    <row r="712" spans="3:3">
      <c r="C712" s="17" t="s">
        <v>516</v>
      </c>
    </row>
    <row r="713" spans="3:3">
      <c r="C713" s="17" t="s">
        <v>801</v>
      </c>
    </row>
    <row r="714" spans="3:3">
      <c r="C714" s="17" t="s">
        <v>930</v>
      </c>
    </row>
    <row r="715" spans="3:3">
      <c r="C715" s="17" t="s">
        <v>879</v>
      </c>
    </row>
    <row r="716" spans="3:3">
      <c r="C716" s="17" t="s">
        <v>931</v>
      </c>
    </row>
    <row r="717" spans="3:3">
      <c r="C717" s="17" t="s">
        <v>840</v>
      </c>
    </row>
    <row r="718" spans="3:3">
      <c r="C718" s="17" t="s">
        <v>1408</v>
      </c>
    </row>
    <row r="719" spans="3:3">
      <c r="C719" s="17" t="s">
        <v>616</v>
      </c>
    </row>
    <row r="720" spans="3:3">
      <c r="C720" s="17" t="s">
        <v>940</v>
      </c>
    </row>
    <row r="721" spans="3:3">
      <c r="C721" s="17" t="s">
        <v>1373</v>
      </c>
    </row>
    <row r="722" spans="3:3">
      <c r="C722" s="17" t="s">
        <v>1373</v>
      </c>
    </row>
    <row r="723" spans="3:3">
      <c r="C723" s="17" t="s">
        <v>596</v>
      </c>
    </row>
    <row r="724" spans="3:3">
      <c r="C724" s="17" t="s">
        <v>753</v>
      </c>
    </row>
    <row r="725" spans="3:3">
      <c r="C725" s="17" t="s">
        <v>1357</v>
      </c>
    </row>
    <row r="726" spans="3:3">
      <c r="C726" s="17" t="s">
        <v>525</v>
      </c>
    </row>
    <row r="727" spans="3:3">
      <c r="C727" s="17" t="s">
        <v>1421</v>
      </c>
    </row>
    <row r="728" spans="3:3">
      <c r="C728" s="17" t="s">
        <v>526</v>
      </c>
    </row>
    <row r="729" spans="3:3">
      <c r="C729" s="17" t="s">
        <v>1010</v>
      </c>
    </row>
    <row r="730" spans="3:3">
      <c r="C730" s="17" t="s">
        <v>1365</v>
      </c>
    </row>
    <row r="731" spans="3:3">
      <c r="C731" s="17" t="s">
        <v>591</v>
      </c>
    </row>
    <row r="732" spans="3:3">
      <c r="C732" s="17" t="s">
        <v>880</v>
      </c>
    </row>
    <row r="733" spans="3:3">
      <c r="C733" s="17" t="s">
        <v>578</v>
      </c>
    </row>
    <row r="734" spans="3:3">
      <c r="C734" s="17" t="s">
        <v>645</v>
      </c>
    </row>
    <row r="735" spans="3:3">
      <c r="C735" s="17" t="s">
        <v>1609</v>
      </c>
    </row>
    <row r="736" spans="3:3">
      <c r="C736" s="17" t="s">
        <v>586</v>
      </c>
    </row>
    <row r="737" spans="3:3">
      <c r="C737" s="17" t="s">
        <v>1001</v>
      </c>
    </row>
    <row r="738" spans="3:3">
      <c r="C738" s="17" t="s">
        <v>522</v>
      </c>
    </row>
    <row r="739" spans="3:3">
      <c r="C739" s="17" t="s">
        <v>860</v>
      </c>
    </row>
    <row r="740" spans="3:3">
      <c r="C740" s="17" t="s">
        <v>987</v>
      </c>
    </row>
    <row r="741" spans="3:3">
      <c r="C741" s="17" t="s">
        <v>932</v>
      </c>
    </row>
    <row r="742" spans="3:3">
      <c r="C742" s="17" t="s">
        <v>1369</v>
      </c>
    </row>
    <row r="743" spans="3:3">
      <c r="C743" s="17" t="s">
        <v>508</v>
      </c>
    </row>
    <row r="744" spans="3:3">
      <c r="C744" s="17" t="s">
        <v>976</v>
      </c>
    </row>
    <row r="745" spans="3:3">
      <c r="C745" s="17" t="s">
        <v>959</v>
      </c>
    </row>
    <row r="746" spans="3:3">
      <c r="C746" s="17" t="s">
        <v>802</v>
      </c>
    </row>
    <row r="747" spans="3:3">
      <c r="C747" s="17" t="s">
        <v>803</v>
      </c>
    </row>
    <row r="748" spans="3:3">
      <c r="C748" s="17" t="s">
        <v>825</v>
      </c>
    </row>
    <row r="749" spans="3:3">
      <c r="C749" s="17" t="s">
        <v>1017</v>
      </c>
    </row>
    <row r="750" spans="3:3">
      <c r="C750" s="17" t="s">
        <v>969</v>
      </c>
    </row>
    <row r="751" spans="3:3">
      <c r="C751" s="17" t="s">
        <v>790</v>
      </c>
    </row>
    <row r="752" spans="3:3">
      <c r="C752" s="17" t="s">
        <v>579</v>
      </c>
    </row>
    <row r="753" spans="3:3">
      <c r="C753" s="17" t="s">
        <v>769</v>
      </c>
    </row>
    <row r="754" spans="3:3">
      <c r="C754" s="17" t="s">
        <v>933</v>
      </c>
    </row>
    <row r="755" spans="3:3">
      <c r="C755" s="17" t="s">
        <v>1414</v>
      </c>
    </row>
    <row r="756" spans="3:3">
      <c r="C756" s="17" t="s">
        <v>636</v>
      </c>
    </row>
    <row r="757" spans="3:3">
      <c r="C757" s="17" t="s">
        <v>1409</v>
      </c>
    </row>
    <row r="758" spans="3:3">
      <c r="C758" s="17" t="s">
        <v>630</v>
      </c>
    </row>
    <row r="759" spans="3:3">
      <c r="C759" s="17" t="s">
        <v>1356</v>
      </c>
    </row>
    <row r="760" spans="3:3">
      <c r="C760" s="17" t="s">
        <v>113</v>
      </c>
    </row>
    <row r="761" spans="3:3">
      <c r="C761" s="17" t="s">
        <v>1011</v>
      </c>
    </row>
    <row r="762" spans="3:3">
      <c r="C762" s="17" t="s">
        <v>1438</v>
      </c>
    </row>
    <row r="763" spans="3:3">
      <c r="C763" s="17" t="s">
        <v>1551</v>
      </c>
    </row>
    <row r="764" spans="3:3">
      <c r="C764" s="17" t="s">
        <v>640</v>
      </c>
    </row>
    <row r="765" spans="3:3">
      <c r="C765" s="17" t="s">
        <v>705</v>
      </c>
    </row>
    <row r="766" spans="3:3">
      <c r="C766" s="17" t="s">
        <v>1441</v>
      </c>
    </row>
    <row r="767" spans="3:3">
      <c r="C767" s="17" t="s">
        <v>608</v>
      </c>
    </row>
    <row r="768" spans="3:3">
      <c r="C768" s="17" t="s">
        <v>963</v>
      </c>
    </row>
    <row r="769" spans="3:3">
      <c r="C769" s="17" t="s">
        <v>1377</v>
      </c>
    </row>
    <row r="770" spans="3:3">
      <c r="C770" s="17" t="s">
        <v>595</v>
      </c>
    </row>
    <row r="771" spans="3:3">
      <c r="C771" s="17" t="s">
        <v>1445</v>
      </c>
    </row>
    <row r="772" spans="3:3">
      <c r="C772" s="17" t="s">
        <v>1020</v>
      </c>
    </row>
    <row r="773" spans="3:3">
      <c r="C773" s="17" t="s">
        <v>955</v>
      </c>
    </row>
    <row r="774" spans="3:3">
      <c r="C774" s="17" t="s">
        <v>1451</v>
      </c>
    </row>
    <row r="775" spans="3:3">
      <c r="C775" s="17" t="s">
        <v>921</v>
      </c>
    </row>
    <row r="776" spans="3:3">
      <c r="C776" s="17" t="s">
        <v>804</v>
      </c>
    </row>
    <row r="777" spans="3:3">
      <c r="C777" s="17" t="s">
        <v>1440</v>
      </c>
    </row>
    <row r="778" spans="3:3">
      <c r="C778" s="17" t="s">
        <v>1380</v>
      </c>
    </row>
    <row r="779" spans="3:3">
      <c r="C779" s="17" t="s">
        <v>641</v>
      </c>
    </row>
    <row r="780" spans="3:3">
      <c r="C780" s="17" t="s">
        <v>805</v>
      </c>
    </row>
    <row r="781" spans="3:3">
      <c r="C781" s="17" t="s">
        <v>806</v>
      </c>
    </row>
    <row r="782" spans="3:3">
      <c r="C782" s="17" t="s">
        <v>1401</v>
      </c>
    </row>
    <row r="783" spans="3:3">
      <c r="C783" s="17" t="s">
        <v>569</v>
      </c>
    </row>
    <row r="784" spans="3:3">
      <c r="C784" s="17" t="s">
        <v>598</v>
      </c>
    </row>
    <row r="785" spans="3:3">
      <c r="C785" s="17" t="s">
        <v>841</v>
      </c>
    </row>
    <row r="786" spans="3:3">
      <c r="C786" s="17" t="s">
        <v>770</v>
      </c>
    </row>
    <row r="787" spans="3:3">
      <c r="C787" s="17" t="s">
        <v>993</v>
      </c>
    </row>
    <row r="788" spans="3:3">
      <c r="C788" s="17" t="s">
        <v>997</v>
      </c>
    </row>
    <row r="789" spans="3:3">
      <c r="C789" s="17" t="s">
        <v>990</v>
      </c>
    </row>
    <row r="790" spans="3:3">
      <c r="C790" s="17" t="s">
        <v>1435</v>
      </c>
    </row>
    <row r="791" spans="3:3">
      <c r="C791" s="17" t="s">
        <v>1422</v>
      </c>
    </row>
    <row r="792" spans="3:3">
      <c r="C792" s="17" t="s">
        <v>628</v>
      </c>
    </row>
    <row r="793" spans="3:3">
      <c r="C793" s="17" t="s">
        <v>1437</v>
      </c>
    </row>
    <row r="794" spans="3:3">
      <c r="C794" s="17" t="s">
        <v>754</v>
      </c>
    </row>
    <row r="795" spans="3:3">
      <c r="C795" s="17" t="s">
        <v>922</v>
      </c>
    </row>
    <row r="796" spans="3:3">
      <c r="C796" s="17" t="s">
        <v>842</v>
      </c>
    </row>
    <row r="797" spans="3:3">
      <c r="C797" s="17" t="s">
        <v>819</v>
      </c>
    </row>
    <row r="798" spans="3:3">
      <c r="C798" s="17" t="s">
        <v>613</v>
      </c>
    </row>
    <row r="799" spans="3:3">
      <c r="C799" s="17" t="s">
        <v>974</v>
      </c>
    </row>
    <row r="800" spans="3:3">
      <c r="C800" s="17" t="s">
        <v>916</v>
      </c>
    </row>
    <row r="801" spans="3:3">
      <c r="C801" s="17" t="s">
        <v>923</v>
      </c>
    </row>
    <row r="802" spans="3:3">
      <c r="C802" s="17" t="s">
        <v>1368</v>
      </c>
    </row>
    <row r="803" spans="3:3">
      <c r="C803" s="17" t="s">
        <v>523</v>
      </c>
    </row>
    <row r="804" spans="3:3">
      <c r="C804" s="17" t="s">
        <v>1367</v>
      </c>
    </row>
    <row r="805" spans="3:3">
      <c r="C805" s="17" t="s">
        <v>580</v>
      </c>
    </row>
    <row r="806" spans="3:3">
      <c r="C806" s="17" t="s">
        <v>910</v>
      </c>
    </row>
    <row r="807" spans="3:3">
      <c r="C807" s="17" t="s">
        <v>659</v>
      </c>
    </row>
    <row r="808" spans="3:3">
      <c r="C808" s="17" t="s">
        <v>659</v>
      </c>
    </row>
    <row r="809" spans="3:3">
      <c r="C809" s="17" t="s">
        <v>1002</v>
      </c>
    </row>
    <row r="810" spans="3:3">
      <c r="C810" s="17" t="s">
        <v>977</v>
      </c>
    </row>
    <row r="811" spans="3:3">
      <c r="C811" s="17" t="s">
        <v>1461</v>
      </c>
    </row>
    <row r="812" spans="3:3">
      <c r="C812" s="17" t="s">
        <v>881</v>
      </c>
    </row>
    <row r="813" spans="3:3">
      <c r="C813" s="17" t="s">
        <v>887</v>
      </c>
    </row>
    <row r="814" spans="3:3">
      <c r="C814" s="17" t="s">
        <v>621</v>
      </c>
    </row>
    <row r="815" spans="3:3">
      <c r="C815" s="17" t="s">
        <v>575</v>
      </c>
    </row>
    <row r="816" spans="3:3">
      <c r="C816" s="17" t="s">
        <v>981</v>
      </c>
    </row>
    <row r="817" spans="3:3">
      <c r="C817" s="17" t="s">
        <v>1399</v>
      </c>
    </row>
    <row r="818" spans="3:3">
      <c r="C818" s="17" t="s">
        <v>634</v>
      </c>
    </row>
    <row r="819" spans="3:3">
      <c r="C819" s="17" t="s">
        <v>1425</v>
      </c>
    </row>
    <row r="820" spans="3:3">
      <c r="C820" s="17" t="s">
        <v>1472</v>
      </c>
    </row>
    <row r="821" spans="3:3">
      <c r="C821" s="17" t="s">
        <v>1455</v>
      </c>
    </row>
    <row r="822" spans="3:3">
      <c r="C822" s="17" t="s">
        <v>949</v>
      </c>
    </row>
    <row r="823" spans="3:3">
      <c r="C823" s="17" t="s">
        <v>941</v>
      </c>
    </row>
    <row r="824" spans="3:3">
      <c r="C824" s="17" t="s">
        <v>1402</v>
      </c>
    </row>
    <row r="825" spans="3:3">
      <c r="C825" s="17" t="s">
        <v>623</v>
      </c>
    </row>
    <row r="826" spans="3:3">
      <c r="C826" s="17" t="s">
        <v>861</v>
      </c>
    </row>
    <row r="827" spans="3:3">
      <c r="C827" s="17" t="s">
        <v>984</v>
      </c>
    </row>
    <row r="828" spans="3:3">
      <c r="C828" s="17" t="s">
        <v>1397</v>
      </c>
    </row>
    <row r="829" spans="3:3">
      <c r="C829" s="17" t="s">
        <v>635</v>
      </c>
    </row>
    <row r="830" spans="3:3">
      <c r="C830" s="17" t="s">
        <v>706</v>
      </c>
    </row>
    <row r="831" spans="3:3">
      <c r="C831" s="17" t="s">
        <v>600</v>
      </c>
    </row>
    <row r="832" spans="3:3">
      <c r="C832" s="17" t="s">
        <v>978</v>
      </c>
    </row>
    <row r="833" spans="3:3">
      <c r="C833" s="17" t="s">
        <v>1396</v>
      </c>
    </row>
    <row r="834" spans="3:3">
      <c r="C834" s="17" t="s">
        <v>555</v>
      </c>
    </row>
    <row r="835" spans="3:3">
      <c r="C835" s="17" t="s">
        <v>743</v>
      </c>
    </row>
    <row r="836" spans="3:3">
      <c r="C836" s="17" t="s">
        <v>986</v>
      </c>
    </row>
    <row r="837" spans="3:3">
      <c r="C837" s="17" t="s">
        <v>625</v>
      </c>
    </row>
    <row r="838" spans="3:3">
      <c r="C838" s="17" t="s">
        <v>556</v>
      </c>
    </row>
    <row r="839" spans="3:3">
      <c r="C839" s="17" t="s">
        <v>983</v>
      </c>
    </row>
    <row r="840" spans="3:3">
      <c r="C840" s="17" t="s">
        <v>980</v>
      </c>
    </row>
    <row r="841" spans="3:3">
      <c r="C841" s="17" t="s">
        <v>660</v>
      </c>
    </row>
    <row r="842" spans="3:3">
      <c r="C842" s="17" t="s">
        <v>1467</v>
      </c>
    </row>
    <row r="843" spans="3:3">
      <c r="C843" s="17" t="s">
        <v>581</v>
      </c>
    </row>
    <row r="844" spans="3:3">
      <c r="C844" s="17" t="s">
        <v>771</v>
      </c>
    </row>
    <row r="845" spans="3:3">
      <c r="C845" s="17" t="s">
        <v>760</v>
      </c>
    </row>
    <row r="846" spans="3:3">
      <c r="C846" s="17" t="s">
        <v>843</v>
      </c>
    </row>
    <row r="847" spans="3:3">
      <c r="C847" s="17" t="s">
        <v>661</v>
      </c>
    </row>
    <row r="848" spans="3:3">
      <c r="C848" s="17" t="s">
        <v>1610</v>
      </c>
    </row>
    <row r="849" spans="3:3">
      <c r="C849" s="17" t="s">
        <v>1611</v>
      </c>
    </row>
    <row r="850" spans="3:3">
      <c r="C850" s="17" t="s">
        <v>707</v>
      </c>
    </row>
    <row r="851" spans="3:3">
      <c r="C851" s="17" t="s">
        <v>1370</v>
      </c>
    </row>
    <row r="852" spans="3:3">
      <c r="C852" s="17" t="s">
        <v>515</v>
      </c>
    </row>
    <row r="853" spans="3:3">
      <c r="C853" s="17" t="s">
        <v>662</v>
      </c>
    </row>
    <row r="854" spans="3:3">
      <c r="C854" s="17" t="s">
        <v>662</v>
      </c>
    </row>
    <row r="855" spans="3:3">
      <c r="C855" s="17" t="s">
        <v>1458</v>
      </c>
    </row>
    <row r="856" spans="3:3">
      <c r="C856" s="17" t="s">
        <v>772</v>
      </c>
    </row>
    <row r="857" spans="3:3">
      <c r="C857" s="17" t="s">
        <v>1466</v>
      </c>
    </row>
    <row r="858" spans="3:3">
      <c r="C858" s="17" t="s">
        <v>1000</v>
      </c>
    </row>
    <row r="859" spans="3:3">
      <c r="C859" s="17" t="s">
        <v>992</v>
      </c>
    </row>
    <row r="860" spans="3:3">
      <c r="C860" s="17" t="s">
        <v>615</v>
      </c>
    </row>
    <row r="861" spans="3:3">
      <c r="C861" s="17" t="s">
        <v>1416</v>
      </c>
    </row>
    <row r="862" spans="3:3">
      <c r="C862" s="17" t="s">
        <v>638</v>
      </c>
    </row>
    <row r="863" spans="3:3">
      <c r="C863" s="17" t="s">
        <v>862</v>
      </c>
    </row>
    <row r="864" spans="3:3">
      <c r="C864" s="17" t="s">
        <v>644</v>
      </c>
    </row>
    <row r="865" spans="3:3">
      <c r="C865" s="17" t="s">
        <v>1021</v>
      </c>
    </row>
    <row r="866" spans="3:3">
      <c r="C866" s="17" t="s">
        <v>726</v>
      </c>
    </row>
    <row r="867" spans="3:3">
      <c r="C867" s="17" t="s">
        <v>1388</v>
      </c>
    </row>
    <row r="868" spans="3:3">
      <c r="C868" s="17" t="s">
        <v>863</v>
      </c>
    </row>
    <row r="869" spans="3:3">
      <c r="C869" s="17" t="s">
        <v>708</v>
      </c>
    </row>
    <row r="870" spans="3:3">
      <c r="C870" s="17" t="s">
        <v>570</v>
      </c>
    </row>
    <row r="871" spans="3:3">
      <c r="C871" s="17" t="s">
        <v>826</v>
      </c>
    </row>
    <row r="872" spans="3:3">
      <c r="C872" s="17" t="s">
        <v>942</v>
      </c>
    </row>
    <row r="873" spans="3:3">
      <c r="C873" s="17" t="s">
        <v>709</v>
      </c>
    </row>
    <row r="874" spans="3:3">
      <c r="C874" s="9" t="s">
        <v>1549</v>
      </c>
    </row>
    <row r="875" spans="3:3">
      <c r="C875" s="17" t="s">
        <v>1436</v>
      </c>
    </row>
    <row r="876" spans="3:3">
      <c r="C876" s="17" t="s">
        <v>710</v>
      </c>
    </row>
    <row r="877" spans="3:3">
      <c r="C877" s="17" t="s">
        <v>943</v>
      </c>
    </row>
    <row r="878" spans="3:3">
      <c r="C878" s="17" t="s">
        <v>733</v>
      </c>
    </row>
    <row r="879" spans="3:3">
      <c r="C879" s="17" t="s">
        <v>1012</v>
      </c>
    </row>
    <row r="880" spans="3:3">
      <c r="C880" s="17" t="s">
        <v>761</v>
      </c>
    </row>
    <row r="881" spans="3:3">
      <c r="C881" s="17" t="s">
        <v>1410</v>
      </c>
    </row>
    <row r="882" spans="3:3">
      <c r="C882" s="17" t="s">
        <v>562</v>
      </c>
    </row>
    <row r="883" spans="3:3">
      <c r="C883" s="17" t="s">
        <v>746</v>
      </c>
    </row>
    <row r="884" spans="3:3">
      <c r="C884" s="17" t="s">
        <v>966</v>
      </c>
    </row>
    <row r="885" spans="3:3">
      <c r="C885" s="17" t="s">
        <v>587</v>
      </c>
    </row>
    <row r="886" spans="3:3">
      <c r="C886" s="17" t="s">
        <v>807</v>
      </c>
    </row>
    <row r="887" spans="3:3">
      <c r="C887" s="17" t="s">
        <v>762</v>
      </c>
    </row>
    <row r="888" spans="3:3">
      <c r="C888" s="17" t="s">
        <v>844</v>
      </c>
    </row>
    <row r="889" spans="3:3">
      <c r="C889" s="17" t="s">
        <v>924</v>
      </c>
    </row>
    <row r="890" spans="3:3">
      <c r="C890" s="17" t="s">
        <v>827</v>
      </c>
    </row>
    <row r="891" spans="3:3">
      <c r="C891" s="17" t="s">
        <v>808</v>
      </c>
    </row>
    <row r="892" spans="3:3">
      <c r="C892" s="17" t="s">
        <v>594</v>
      </c>
    </row>
    <row r="893" spans="3:3">
      <c r="C893" s="17" t="s">
        <v>950</v>
      </c>
    </row>
    <row r="894" spans="3:3">
      <c r="C894" s="17" t="s">
        <v>985</v>
      </c>
    </row>
    <row r="895" spans="3:3">
      <c r="C895" s="17" t="s">
        <v>670</v>
      </c>
    </row>
    <row r="896" spans="3:3">
      <c r="C896" s="17" t="s">
        <v>1439</v>
      </c>
    </row>
    <row r="897" spans="3:3">
      <c r="C897" s="17" t="s">
        <v>1424</v>
      </c>
    </row>
    <row r="898" spans="3:3">
      <c r="C898" s="17" t="s">
        <v>643</v>
      </c>
    </row>
    <row r="899" spans="3:3">
      <c r="C899" s="17" t="s">
        <v>1444</v>
      </c>
    </row>
    <row r="900" spans="3:3">
      <c r="C900" s="17" t="s">
        <v>951</v>
      </c>
    </row>
    <row r="901" spans="3:3">
      <c r="C901" s="17" t="s">
        <v>906</v>
      </c>
    </row>
    <row r="902" spans="3:3">
      <c r="C902" s="17" t="s">
        <v>962</v>
      </c>
    </row>
    <row r="903" spans="3:3">
      <c r="C903" s="17" t="s">
        <v>711</v>
      </c>
    </row>
    <row r="904" spans="3:3">
      <c r="C904" s="17" t="s">
        <v>902</v>
      </c>
    </row>
    <row r="905" spans="3:3">
      <c r="C905" s="17" t="s">
        <v>626</v>
      </c>
    </row>
    <row r="906" spans="3:3">
      <c r="C906" s="17" t="s">
        <v>663</v>
      </c>
    </row>
    <row r="907" spans="3:3">
      <c r="C907" s="17" t="s">
        <v>663</v>
      </c>
    </row>
    <row r="908" spans="3:3">
      <c r="C908" s="17" t="s">
        <v>952</v>
      </c>
    </row>
    <row r="909" spans="3:3">
      <c r="C909" s="17" t="s">
        <v>791</v>
      </c>
    </row>
    <row r="910" spans="3:3">
      <c r="C910" s="17" t="s">
        <v>534</v>
      </c>
    </row>
    <row r="911" spans="3:3">
      <c r="C911" s="17" t="s">
        <v>864</v>
      </c>
    </row>
    <row r="912" spans="3:3">
      <c r="C912" s="17" t="s">
        <v>845</v>
      </c>
    </row>
    <row r="913" spans="3:3">
      <c r="C913" s="17" t="s">
        <v>582</v>
      </c>
    </row>
    <row r="914" spans="3:3">
      <c r="C914" s="17" t="s">
        <v>773</v>
      </c>
    </row>
    <row r="915" spans="3:3">
      <c r="C915" s="17" t="s">
        <v>1360</v>
      </c>
    </row>
    <row r="916" spans="3:3">
      <c r="C916" s="17" t="s">
        <v>110</v>
      </c>
    </row>
    <row r="917" spans="3:3">
      <c r="C917" s="17" t="s">
        <v>111</v>
      </c>
    </row>
    <row r="918" spans="3:3">
      <c r="C918" s="17" t="s">
        <v>894</v>
      </c>
    </row>
    <row r="919" spans="3:3">
      <c r="C919" s="17" t="s">
        <v>934</v>
      </c>
    </row>
    <row r="920" spans="3:3">
      <c r="C920" s="17" t="s">
        <v>1022</v>
      </c>
    </row>
    <row r="921" spans="3:3">
      <c r="C921" s="17" t="s">
        <v>1426</v>
      </c>
    </row>
    <row r="922" spans="3:3">
      <c r="C922" s="17" t="s">
        <v>897</v>
      </c>
    </row>
    <row r="923" spans="3:3">
      <c r="C923" s="17" t="s">
        <v>809</v>
      </c>
    </row>
    <row r="924" spans="3:3">
      <c r="C924" s="17" t="s">
        <v>810</v>
      </c>
    </row>
    <row r="925" spans="3:3">
      <c r="C925" s="17" t="s">
        <v>518</v>
      </c>
    </row>
    <row r="926" spans="3:3">
      <c r="C926" s="17" t="s">
        <v>998</v>
      </c>
    </row>
    <row r="927" spans="3:3">
      <c r="C927" s="17" t="s">
        <v>925</v>
      </c>
    </row>
    <row r="928" spans="3:3">
      <c r="C928" s="17" t="s">
        <v>926</v>
      </c>
    </row>
    <row r="929" spans="3:3">
      <c r="C929" s="17" t="s">
        <v>1372</v>
      </c>
    </row>
    <row r="930" spans="3:3">
      <c r="C930" s="17" t="s">
        <v>505</v>
      </c>
    </row>
    <row r="931" spans="3:3">
      <c r="C931" s="17" t="s">
        <v>970</v>
      </c>
    </row>
    <row r="932" spans="3:3">
      <c r="C932" s="17" t="s">
        <v>1418</v>
      </c>
    </row>
    <row r="933" spans="3:3">
      <c r="C933" s="17" t="s">
        <v>597</v>
      </c>
    </row>
    <row r="934" spans="3:3">
      <c r="C934" s="17" t="s">
        <v>1008</v>
      </c>
    </row>
    <row r="935" spans="3:3">
      <c r="C935" s="9" t="s">
        <v>1547</v>
      </c>
    </row>
    <row r="936" spans="3:3">
      <c r="C936" s="17" t="s">
        <v>1411</v>
      </c>
    </row>
    <row r="937" spans="3:3">
      <c r="C937" s="17" t="s">
        <v>631</v>
      </c>
    </row>
    <row r="938" spans="3:3">
      <c r="C938" s="17" t="s">
        <v>737</v>
      </c>
    </row>
    <row r="939" spans="3:3">
      <c r="C939" s="17" t="s">
        <v>755</v>
      </c>
    </row>
    <row r="940" spans="3:3">
      <c r="C940" s="17" t="s">
        <v>774</v>
      </c>
    </row>
    <row r="941" spans="3:3">
      <c r="C941" s="17" t="s">
        <v>1376</v>
      </c>
    </row>
    <row r="942" spans="3:3">
      <c r="C942" s="17" t="s">
        <v>632</v>
      </c>
    </row>
    <row r="943" spans="3:3">
      <c r="C943" s="17" t="s">
        <v>712</v>
      </c>
    </row>
    <row r="944" spans="3:3">
      <c r="C944" s="17" t="s">
        <v>744</v>
      </c>
    </row>
    <row r="945" spans="3:3">
      <c r="C945" s="17" t="s">
        <v>811</v>
      </c>
    </row>
    <row r="946" spans="3:3">
      <c r="C946" s="17" t="s">
        <v>812</v>
      </c>
    </row>
    <row r="947" spans="3:3">
      <c r="C947" s="17" t="s">
        <v>664</v>
      </c>
    </row>
    <row r="948" spans="3:3">
      <c r="C948" s="17" t="s">
        <v>820</v>
      </c>
    </row>
    <row r="949" spans="3:3">
      <c r="C949" s="17" t="s">
        <v>713</v>
      </c>
    </row>
    <row r="950" spans="3:3">
      <c r="C950" s="17" t="s">
        <v>890</v>
      </c>
    </row>
    <row r="951" spans="3:3">
      <c r="C951" s="17" t="s">
        <v>935</v>
      </c>
    </row>
    <row r="952" spans="3:3">
      <c r="C952" s="17" t="s">
        <v>813</v>
      </c>
    </row>
    <row r="953" spans="3:3">
      <c r="C953" s="17" t="s">
        <v>846</v>
      </c>
    </row>
    <row r="954" spans="3:3">
      <c r="C954" s="17" t="s">
        <v>828</v>
      </c>
    </row>
    <row r="955" spans="3:3">
      <c r="C955" s="17" t="s">
        <v>714</v>
      </c>
    </row>
    <row r="956" spans="3:3">
      <c r="C956" s="17" t="s">
        <v>564</v>
      </c>
    </row>
    <row r="957" spans="3:3">
      <c r="C957" s="17" t="s">
        <v>665</v>
      </c>
    </row>
    <row r="958" spans="3:3">
      <c r="C958" s="17" t="s">
        <v>715</v>
      </c>
    </row>
    <row r="959" spans="3:3">
      <c r="C959" s="17" t="s">
        <v>1024</v>
      </c>
    </row>
    <row r="960" spans="3:3">
      <c r="C960" s="17" t="s">
        <v>524</v>
      </c>
    </row>
    <row r="961" spans="3:3">
      <c r="C961" s="17" t="s">
        <v>1018</v>
      </c>
    </row>
    <row r="962" spans="3:3">
      <c r="C962" s="17" t="s">
        <v>666</v>
      </c>
    </row>
    <row r="963" spans="3:3">
      <c r="C963" s="17" t="s">
        <v>730</v>
      </c>
    </row>
    <row r="964" spans="3:3">
      <c r="C964" s="17" t="s">
        <v>667</v>
      </c>
    </row>
    <row r="965" spans="3:3">
      <c r="C965" s="17" t="s">
        <v>716</v>
      </c>
    </row>
    <row r="966" spans="3:3">
      <c r="C966" s="17" t="s">
        <v>821</v>
      </c>
    </row>
    <row r="967" spans="3:3">
      <c r="C967" s="17" t="s">
        <v>1420</v>
      </c>
    </row>
    <row r="968" spans="3:3">
      <c r="C968" s="17" t="s">
        <v>539</v>
      </c>
    </row>
    <row r="969" spans="3:3">
      <c r="C969" s="17" t="s">
        <v>593</v>
      </c>
    </row>
    <row r="970" spans="3:3">
      <c r="C970" s="17" t="s">
        <v>1546</v>
      </c>
    </row>
    <row r="971" spans="3:3">
      <c r="C971" s="17" t="s">
        <v>1545</v>
      </c>
    </row>
    <row r="972" spans="3:3">
      <c r="C972" s="17" t="s">
        <v>829</v>
      </c>
    </row>
    <row r="973" spans="3:3">
      <c r="C973" s="17" t="s">
        <v>749</v>
      </c>
    </row>
    <row r="974" spans="3:3">
      <c r="C974" s="17" t="s">
        <v>936</v>
      </c>
    </row>
    <row r="975" spans="3:3">
      <c r="C975" s="17" t="s">
        <v>792</v>
      </c>
    </row>
    <row r="976" spans="3:3">
      <c r="C976" s="17" t="s">
        <v>898</v>
      </c>
    </row>
    <row r="977" spans="3:3">
      <c r="C977" s="17" t="s">
        <v>1543</v>
      </c>
    </row>
    <row r="978" spans="3:3">
      <c r="C978" s="17" t="s">
        <v>1470</v>
      </c>
    </row>
    <row r="979" spans="3:3">
      <c r="C979" s="17" t="s">
        <v>830</v>
      </c>
    </row>
    <row r="980" spans="3:3">
      <c r="C980" s="17" t="s">
        <v>994</v>
      </c>
    </row>
    <row r="981" spans="3:3">
      <c r="C981" s="17" t="s">
        <v>888</v>
      </c>
    </row>
    <row r="982" spans="3:3">
      <c r="C982" s="17" t="s">
        <v>895</v>
      </c>
    </row>
    <row r="983" spans="3:3">
      <c r="C983" s="17" t="s">
        <v>557</v>
      </c>
    </row>
    <row r="984" spans="3:3">
      <c r="C984" s="17" t="s">
        <v>865</v>
      </c>
    </row>
    <row r="985" spans="3:3">
      <c r="C985" s="17" t="s">
        <v>717</v>
      </c>
    </row>
    <row r="986" spans="3:3">
      <c r="C986" s="17" t="s">
        <v>718</v>
      </c>
    </row>
    <row r="987" spans="3:3">
      <c r="C987" s="17" t="s">
        <v>719</v>
      </c>
    </row>
    <row r="988" spans="3:3">
      <c r="C988" s="17" t="s">
        <v>731</v>
      </c>
    </row>
    <row r="989" spans="3:3">
      <c r="C989" s="17" t="s">
        <v>720</v>
      </c>
    </row>
    <row r="990" spans="3:3">
      <c r="C990" s="17" t="s">
        <v>601</v>
      </c>
    </row>
    <row r="991" spans="3:3">
      <c r="C991" s="17" t="s">
        <v>721</v>
      </c>
    </row>
    <row r="992" spans="3:3">
      <c r="C992" s="17" t="s">
        <v>722</v>
      </c>
    </row>
    <row r="993" spans="3:3">
      <c r="C993" s="17" t="s">
        <v>723</v>
      </c>
    </row>
    <row r="994" spans="3:3">
      <c r="C994" s="17" t="s">
        <v>889</v>
      </c>
    </row>
    <row r="995" spans="3:3">
      <c r="C995" s="17" t="s">
        <v>724</v>
      </c>
    </row>
    <row r="996" spans="3:3">
      <c r="C996" s="17" t="s">
        <v>732</v>
      </c>
    </row>
    <row r="997" spans="3:3">
      <c r="C997" s="17" t="s">
        <v>882</v>
      </c>
    </row>
    <row r="998" spans="3:3">
      <c r="C998" s="17" t="s">
        <v>1023</v>
      </c>
    </row>
    <row r="999" spans="3:3">
      <c r="C999" s="17" t="s">
        <v>866</v>
      </c>
    </row>
    <row r="1000" spans="3:3">
      <c r="C1000" s="17" t="s">
        <v>867</v>
      </c>
    </row>
    <row r="1001" spans="3:3">
      <c r="C1001" s="17" t="s">
        <v>1412</v>
      </c>
    </row>
    <row r="1002" spans="3:3">
      <c r="C1002" s="17" t="s">
        <v>605</v>
      </c>
    </row>
    <row r="1003" spans="3:3">
      <c r="C1003" s="17" t="s">
        <v>609</v>
      </c>
    </row>
    <row r="1004" spans="3:3">
      <c r="C1004" s="17" t="s">
        <v>944</v>
      </c>
    </row>
    <row r="1005" spans="3:3">
      <c r="C1005" s="17" t="s">
        <v>1565</v>
      </c>
    </row>
    <row r="1006" spans="3:3">
      <c r="C1006" s="17" t="s">
        <v>1567</v>
      </c>
    </row>
    <row r="1007" spans="3:3">
      <c r="C1007" s="17" t="s">
        <v>1568</v>
      </c>
    </row>
    <row r="1008" spans="3:3">
      <c r="C1008" s="17" t="s">
        <v>1569</v>
      </c>
    </row>
    <row r="1009" spans="3:3">
      <c r="C1009" s="17" t="s">
        <v>1570</v>
      </c>
    </row>
    <row r="1010" spans="3:3">
      <c r="C1010" s="17" t="s">
        <v>1571</v>
      </c>
    </row>
    <row r="1011" spans="3:3">
      <c r="C1011" s="17" t="s">
        <v>1572</v>
      </c>
    </row>
    <row r="1012" spans="3:3">
      <c r="C1012" s="17" t="s">
        <v>1573</v>
      </c>
    </row>
    <row r="1013" spans="3:3">
      <c r="C1013" s="17" t="s">
        <v>1596</v>
      </c>
    </row>
    <row r="1014" spans="3:3">
      <c r="C1014" s="17" t="s">
        <v>1602</v>
      </c>
    </row>
  </sheetData>
  <phoneticPr fontId="2" type="noConversion"/>
  <pageMargins left="0.7" right="0.7" top="0.75" bottom="0.75" header="0.3" footer="0.3"/>
  <tableParts count="5">
    <tablePart r:id="rId1"/>
    <tablePart r:id="rId2"/>
    <tablePart r:id="rId3"/>
    <tablePart r:id="rId4"/>
    <tablePart r:id="rId5"/>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776D2D-F0FD-430B-B1C9-051D5F328A69}">
  <sheetPr codeName="工作表5"/>
  <dimension ref="A1:D230"/>
  <sheetViews>
    <sheetView workbookViewId="0"/>
  </sheetViews>
  <sheetFormatPr defaultRowHeight="15.75"/>
  <cols>
    <col min="1" max="1" width="12.125" style="85" customWidth="1"/>
    <col min="3" max="3" width="36.125" bestFit="1" customWidth="1"/>
    <col min="4" max="4" width="11.875" bestFit="1" customWidth="1"/>
  </cols>
  <sheetData>
    <row r="1" spans="1:4">
      <c r="A1" s="85">
        <v>46023</v>
      </c>
      <c r="B1" s="86" t="s">
        <v>1502</v>
      </c>
      <c r="C1" t="s">
        <v>1491</v>
      </c>
      <c r="D1" s="88" t="s">
        <v>1503</v>
      </c>
    </row>
    <row r="2" spans="1:4">
      <c r="A2" s="85">
        <v>46025</v>
      </c>
      <c r="B2" t="s">
        <v>1486</v>
      </c>
    </row>
    <row r="3" spans="1:4">
      <c r="A3" s="85">
        <v>46026</v>
      </c>
      <c r="B3" t="s">
        <v>1487</v>
      </c>
    </row>
    <row r="4" spans="1:4">
      <c r="A4" s="85">
        <v>46032</v>
      </c>
      <c r="B4" t="s">
        <v>1486</v>
      </c>
    </row>
    <row r="5" spans="1:4">
      <c r="A5" s="85">
        <v>46033</v>
      </c>
      <c r="B5" t="s">
        <v>1487</v>
      </c>
    </row>
    <row r="6" spans="1:4">
      <c r="A6" s="85">
        <v>46039</v>
      </c>
      <c r="B6" t="s">
        <v>1486</v>
      </c>
    </row>
    <row r="7" spans="1:4">
      <c r="A7" s="85">
        <v>46040</v>
      </c>
      <c r="B7" t="s">
        <v>1487</v>
      </c>
    </row>
    <row r="8" spans="1:4">
      <c r="A8" s="85">
        <v>46041</v>
      </c>
      <c r="B8" t="s">
        <v>1488</v>
      </c>
      <c r="C8" t="s">
        <v>1492</v>
      </c>
    </row>
    <row r="9" spans="1:4">
      <c r="A9" s="85">
        <v>46046</v>
      </c>
      <c r="B9" t="s">
        <v>1486</v>
      </c>
    </row>
    <row r="10" spans="1:4">
      <c r="A10" s="85">
        <v>46047</v>
      </c>
      <c r="B10" t="s">
        <v>1487</v>
      </c>
    </row>
    <row r="11" spans="1:4">
      <c r="A11" s="85">
        <v>46053</v>
      </c>
      <c r="B11" t="s">
        <v>1486</v>
      </c>
    </row>
    <row r="12" spans="1:4">
      <c r="A12" s="85">
        <v>46054</v>
      </c>
      <c r="B12" t="s">
        <v>1487</v>
      </c>
    </row>
    <row r="13" spans="1:4">
      <c r="A13" s="85">
        <v>46060</v>
      </c>
      <c r="B13" t="s">
        <v>1486</v>
      </c>
    </row>
    <row r="14" spans="1:4">
      <c r="A14" s="85">
        <v>46061</v>
      </c>
      <c r="B14" t="s">
        <v>1487</v>
      </c>
    </row>
    <row r="15" spans="1:4">
      <c r="A15" s="85">
        <v>46067</v>
      </c>
      <c r="B15" t="s">
        <v>1486</v>
      </c>
    </row>
    <row r="16" spans="1:4">
      <c r="A16" s="85">
        <v>46068</v>
      </c>
      <c r="B16" t="s">
        <v>1487</v>
      </c>
    </row>
    <row r="17" spans="1:3">
      <c r="A17" s="85">
        <v>46069</v>
      </c>
      <c r="B17" t="s">
        <v>1488</v>
      </c>
      <c r="C17" t="s">
        <v>1493</v>
      </c>
    </row>
    <row r="18" spans="1:3">
      <c r="A18" s="85">
        <v>46074</v>
      </c>
      <c r="B18" t="s">
        <v>1486</v>
      </c>
    </row>
    <row r="19" spans="1:3">
      <c r="A19" s="85">
        <v>46075</v>
      </c>
      <c r="B19" t="s">
        <v>1487</v>
      </c>
    </row>
    <row r="20" spans="1:3">
      <c r="A20" s="85">
        <v>46081</v>
      </c>
      <c r="B20" t="s">
        <v>1486</v>
      </c>
    </row>
    <row r="21" spans="1:3">
      <c r="A21" s="85">
        <v>46082</v>
      </c>
      <c r="B21" t="s">
        <v>1487</v>
      </c>
    </row>
    <row r="22" spans="1:3">
      <c r="A22" s="85">
        <v>46088</v>
      </c>
      <c r="B22" t="s">
        <v>1486</v>
      </c>
    </row>
    <row r="23" spans="1:3">
      <c r="A23" s="85">
        <v>46089</v>
      </c>
      <c r="B23" t="s">
        <v>1487</v>
      </c>
    </row>
    <row r="24" spans="1:3">
      <c r="A24" s="85">
        <v>46095</v>
      </c>
      <c r="B24" t="s">
        <v>1486</v>
      </c>
    </row>
    <row r="25" spans="1:3">
      <c r="A25" s="85">
        <v>46096</v>
      </c>
      <c r="B25" t="s">
        <v>1487</v>
      </c>
    </row>
    <row r="26" spans="1:3">
      <c r="A26" s="85">
        <v>46102</v>
      </c>
      <c r="B26" t="s">
        <v>1486</v>
      </c>
    </row>
    <row r="27" spans="1:3">
      <c r="A27" s="85">
        <v>46103</v>
      </c>
      <c r="B27" t="s">
        <v>1487</v>
      </c>
    </row>
    <row r="28" spans="1:3">
      <c r="A28" s="85">
        <v>46109</v>
      </c>
      <c r="B28" t="s">
        <v>1486</v>
      </c>
    </row>
    <row r="29" spans="1:3">
      <c r="A29" s="85">
        <v>46110</v>
      </c>
      <c r="B29" t="s">
        <v>1487</v>
      </c>
    </row>
    <row r="30" spans="1:3">
      <c r="A30" s="85">
        <v>46115</v>
      </c>
      <c r="B30" t="s">
        <v>1489</v>
      </c>
      <c r="C30" t="s">
        <v>1494</v>
      </c>
    </row>
    <row r="31" spans="1:3">
      <c r="A31" s="85">
        <v>46116</v>
      </c>
      <c r="B31" t="s">
        <v>1486</v>
      </c>
    </row>
    <row r="32" spans="1:3">
      <c r="A32" s="85">
        <v>46117</v>
      </c>
      <c r="B32" t="s">
        <v>1487</v>
      </c>
    </row>
    <row r="33" spans="1:3">
      <c r="A33" s="85">
        <v>46123</v>
      </c>
      <c r="B33" t="s">
        <v>1486</v>
      </c>
    </row>
    <row r="34" spans="1:3">
      <c r="A34" s="85">
        <v>46124</v>
      </c>
      <c r="B34" t="s">
        <v>1487</v>
      </c>
    </row>
    <row r="35" spans="1:3">
      <c r="A35" s="85">
        <v>46130</v>
      </c>
      <c r="B35" t="s">
        <v>1486</v>
      </c>
    </row>
    <row r="36" spans="1:3">
      <c r="A36" s="85">
        <v>46131</v>
      </c>
      <c r="B36" t="s">
        <v>1487</v>
      </c>
    </row>
    <row r="37" spans="1:3">
      <c r="A37" s="85">
        <v>46137</v>
      </c>
      <c r="B37" t="s">
        <v>1486</v>
      </c>
    </row>
    <row r="38" spans="1:3">
      <c r="A38" s="85">
        <v>46138</v>
      </c>
      <c r="B38" t="s">
        <v>1487</v>
      </c>
    </row>
    <row r="39" spans="1:3">
      <c r="A39" s="85">
        <v>46144</v>
      </c>
      <c r="B39" t="s">
        <v>1486</v>
      </c>
    </row>
    <row r="40" spans="1:3">
      <c r="A40" s="85">
        <v>46145</v>
      </c>
      <c r="B40" t="s">
        <v>1487</v>
      </c>
    </row>
    <row r="41" spans="1:3">
      <c r="A41" s="85">
        <v>46151</v>
      </c>
      <c r="B41" t="s">
        <v>1486</v>
      </c>
    </row>
    <row r="42" spans="1:3">
      <c r="A42" s="85">
        <v>46152</v>
      </c>
      <c r="B42" t="s">
        <v>1487</v>
      </c>
    </row>
    <row r="43" spans="1:3">
      <c r="A43" s="85">
        <v>46158</v>
      </c>
      <c r="B43" t="s">
        <v>1486</v>
      </c>
    </row>
    <row r="44" spans="1:3">
      <c r="A44" s="85">
        <v>46159</v>
      </c>
      <c r="B44" t="s">
        <v>1487</v>
      </c>
    </row>
    <row r="45" spans="1:3">
      <c r="A45" s="85">
        <v>46165</v>
      </c>
      <c r="B45" t="s">
        <v>1486</v>
      </c>
    </row>
    <row r="46" spans="1:3">
      <c r="A46" s="85">
        <v>46166</v>
      </c>
      <c r="B46" t="s">
        <v>1487</v>
      </c>
    </row>
    <row r="47" spans="1:3">
      <c r="A47" s="85">
        <v>46167</v>
      </c>
      <c r="B47" t="s">
        <v>1488</v>
      </c>
      <c r="C47" t="s">
        <v>1495</v>
      </c>
    </row>
    <row r="48" spans="1:3">
      <c r="A48" s="85">
        <v>46172</v>
      </c>
      <c r="B48" t="s">
        <v>1486</v>
      </c>
    </row>
    <row r="49" spans="1:3">
      <c r="A49" s="85">
        <v>46173</v>
      </c>
      <c r="B49" t="s">
        <v>1487</v>
      </c>
    </row>
    <row r="50" spans="1:3">
      <c r="A50" s="85">
        <v>46179</v>
      </c>
      <c r="B50" t="s">
        <v>1486</v>
      </c>
    </row>
    <row r="51" spans="1:3">
      <c r="A51" s="85">
        <v>46180</v>
      </c>
      <c r="B51" t="s">
        <v>1487</v>
      </c>
    </row>
    <row r="52" spans="1:3">
      <c r="A52" s="85">
        <v>46186</v>
      </c>
      <c r="B52" t="s">
        <v>1486</v>
      </c>
    </row>
    <row r="53" spans="1:3">
      <c r="A53" s="85">
        <v>46187</v>
      </c>
      <c r="B53" t="s">
        <v>1487</v>
      </c>
    </row>
    <row r="54" spans="1:3">
      <c r="A54" s="85">
        <v>46192</v>
      </c>
      <c r="B54" t="s">
        <v>1489</v>
      </c>
      <c r="C54" t="s">
        <v>1490</v>
      </c>
    </row>
    <row r="55" spans="1:3">
      <c r="A55" s="85">
        <v>46193</v>
      </c>
      <c r="B55" t="s">
        <v>1486</v>
      </c>
    </row>
    <row r="56" spans="1:3">
      <c r="A56" s="85">
        <v>46194</v>
      </c>
      <c r="B56" t="s">
        <v>1487</v>
      </c>
    </row>
    <row r="57" spans="1:3">
      <c r="A57" s="85">
        <v>46200</v>
      </c>
      <c r="B57" t="s">
        <v>1486</v>
      </c>
    </row>
    <row r="58" spans="1:3">
      <c r="A58" s="85">
        <v>46201</v>
      </c>
      <c r="B58" t="s">
        <v>1487</v>
      </c>
    </row>
    <row r="59" spans="1:3">
      <c r="A59" s="85">
        <v>46206</v>
      </c>
      <c r="B59" t="s">
        <v>1489</v>
      </c>
      <c r="C59" t="s">
        <v>1496</v>
      </c>
    </row>
    <row r="60" spans="1:3">
      <c r="A60" s="85">
        <v>46207</v>
      </c>
      <c r="B60" t="s">
        <v>1486</v>
      </c>
    </row>
    <row r="61" spans="1:3">
      <c r="A61" s="85">
        <v>46208</v>
      </c>
      <c r="B61" t="s">
        <v>1487</v>
      </c>
    </row>
    <row r="62" spans="1:3">
      <c r="A62" s="85">
        <v>46214</v>
      </c>
      <c r="B62" t="s">
        <v>1486</v>
      </c>
    </row>
    <row r="63" spans="1:3">
      <c r="A63" s="85">
        <v>46215</v>
      </c>
      <c r="B63" t="s">
        <v>1487</v>
      </c>
    </row>
    <row r="64" spans="1:3">
      <c r="A64" s="85">
        <v>46221</v>
      </c>
      <c r="B64" t="s">
        <v>1486</v>
      </c>
    </row>
    <row r="65" spans="1:3">
      <c r="A65" s="85">
        <v>46222</v>
      </c>
      <c r="B65" t="s">
        <v>1487</v>
      </c>
    </row>
    <row r="66" spans="1:3">
      <c r="A66" s="85">
        <v>46228</v>
      </c>
      <c r="B66" t="s">
        <v>1486</v>
      </c>
    </row>
    <row r="67" spans="1:3">
      <c r="A67" s="85">
        <v>46229</v>
      </c>
      <c r="B67" t="s">
        <v>1487</v>
      </c>
    </row>
    <row r="68" spans="1:3">
      <c r="A68" s="85">
        <v>46235</v>
      </c>
      <c r="B68" t="s">
        <v>1486</v>
      </c>
    </row>
    <row r="69" spans="1:3">
      <c r="A69" s="85">
        <v>46236</v>
      </c>
      <c r="B69" t="s">
        <v>1487</v>
      </c>
    </row>
    <row r="70" spans="1:3">
      <c r="A70" s="85">
        <v>46242</v>
      </c>
      <c r="B70" t="s">
        <v>1486</v>
      </c>
    </row>
    <row r="71" spans="1:3">
      <c r="A71" s="85">
        <v>46243</v>
      </c>
      <c r="B71" t="s">
        <v>1487</v>
      </c>
    </row>
    <row r="72" spans="1:3">
      <c r="A72" s="85">
        <v>46249</v>
      </c>
      <c r="B72" t="s">
        <v>1486</v>
      </c>
    </row>
    <row r="73" spans="1:3">
      <c r="A73" s="85">
        <v>46250</v>
      </c>
      <c r="B73" t="s">
        <v>1487</v>
      </c>
    </row>
    <row r="74" spans="1:3">
      <c r="A74" s="85">
        <v>46256</v>
      </c>
      <c r="B74" t="s">
        <v>1486</v>
      </c>
    </row>
    <row r="75" spans="1:3">
      <c r="A75" s="85">
        <v>46257</v>
      </c>
      <c r="B75" t="s">
        <v>1487</v>
      </c>
    </row>
    <row r="76" spans="1:3">
      <c r="A76" s="85">
        <v>46263</v>
      </c>
      <c r="B76" t="s">
        <v>1486</v>
      </c>
    </row>
    <row r="77" spans="1:3">
      <c r="A77" s="85">
        <v>46264</v>
      </c>
      <c r="B77" t="s">
        <v>1487</v>
      </c>
    </row>
    <row r="78" spans="1:3">
      <c r="A78" s="85">
        <v>46270</v>
      </c>
      <c r="B78" t="s">
        <v>1486</v>
      </c>
    </row>
    <row r="79" spans="1:3">
      <c r="A79" s="85">
        <v>46271</v>
      </c>
      <c r="B79" t="s">
        <v>1487</v>
      </c>
    </row>
    <row r="80" spans="1:3">
      <c r="A80" s="85">
        <v>46272</v>
      </c>
      <c r="B80" t="s">
        <v>1488</v>
      </c>
      <c r="C80" t="s">
        <v>1497</v>
      </c>
    </row>
    <row r="81" spans="1:2">
      <c r="A81" s="85">
        <v>46277</v>
      </c>
      <c r="B81" t="s">
        <v>1486</v>
      </c>
    </row>
    <row r="82" spans="1:2">
      <c r="A82" s="85">
        <v>46278</v>
      </c>
      <c r="B82" t="s">
        <v>1487</v>
      </c>
    </row>
    <row r="83" spans="1:2">
      <c r="A83" s="85">
        <v>46284</v>
      </c>
      <c r="B83" t="s">
        <v>1486</v>
      </c>
    </row>
    <row r="84" spans="1:2">
      <c r="A84" s="85">
        <v>46285</v>
      </c>
      <c r="B84" t="s">
        <v>1487</v>
      </c>
    </row>
    <row r="85" spans="1:2">
      <c r="A85" s="85">
        <v>46291</v>
      </c>
      <c r="B85" t="s">
        <v>1486</v>
      </c>
    </row>
    <row r="86" spans="1:2">
      <c r="A86" s="85">
        <v>46292</v>
      </c>
      <c r="B86" t="s">
        <v>1487</v>
      </c>
    </row>
    <row r="87" spans="1:2">
      <c r="A87" s="85">
        <v>46298</v>
      </c>
      <c r="B87" t="s">
        <v>1486</v>
      </c>
    </row>
    <row r="88" spans="1:2">
      <c r="A88" s="85">
        <v>46299</v>
      </c>
      <c r="B88" t="s">
        <v>1487</v>
      </c>
    </row>
    <row r="89" spans="1:2">
      <c r="A89" s="85">
        <v>46305</v>
      </c>
      <c r="B89" t="s">
        <v>1486</v>
      </c>
    </row>
    <row r="90" spans="1:2">
      <c r="A90" s="85">
        <v>46306</v>
      </c>
      <c r="B90" t="s">
        <v>1487</v>
      </c>
    </row>
    <row r="91" spans="1:2">
      <c r="A91" s="85">
        <v>46312</v>
      </c>
      <c r="B91" t="s">
        <v>1486</v>
      </c>
    </row>
    <row r="92" spans="1:2">
      <c r="A92" s="85">
        <v>46313</v>
      </c>
      <c r="B92" t="s">
        <v>1487</v>
      </c>
    </row>
    <row r="93" spans="1:2">
      <c r="A93" s="85">
        <v>46319</v>
      </c>
      <c r="B93" t="s">
        <v>1486</v>
      </c>
    </row>
    <row r="94" spans="1:2">
      <c r="A94" s="85">
        <v>46320</v>
      </c>
      <c r="B94" t="s">
        <v>1487</v>
      </c>
    </row>
    <row r="95" spans="1:2">
      <c r="A95" s="85">
        <v>46326</v>
      </c>
      <c r="B95" t="s">
        <v>1486</v>
      </c>
    </row>
    <row r="96" spans="1:2">
      <c r="A96" s="85">
        <v>46327</v>
      </c>
      <c r="B96" t="s">
        <v>1487</v>
      </c>
    </row>
    <row r="97" spans="1:3">
      <c r="A97" s="85">
        <v>46333</v>
      </c>
      <c r="B97" t="s">
        <v>1486</v>
      </c>
    </row>
    <row r="98" spans="1:3">
      <c r="A98" s="85">
        <v>46334</v>
      </c>
      <c r="B98" t="s">
        <v>1487</v>
      </c>
    </row>
    <row r="99" spans="1:3">
      <c r="A99" s="85">
        <v>46340</v>
      </c>
      <c r="B99" t="s">
        <v>1486</v>
      </c>
    </row>
    <row r="100" spans="1:3">
      <c r="A100" s="85">
        <v>46341</v>
      </c>
      <c r="B100" t="s">
        <v>1487</v>
      </c>
    </row>
    <row r="101" spans="1:3">
      <c r="A101" s="85">
        <v>46347</v>
      </c>
      <c r="B101" t="s">
        <v>1486</v>
      </c>
    </row>
    <row r="102" spans="1:3">
      <c r="A102" s="85">
        <v>46348</v>
      </c>
      <c r="B102" t="s">
        <v>1487</v>
      </c>
    </row>
    <row r="103" spans="1:3">
      <c r="A103" s="85">
        <v>46352</v>
      </c>
      <c r="B103" t="s">
        <v>1485</v>
      </c>
      <c r="C103" t="s">
        <v>1498</v>
      </c>
    </row>
    <row r="104" spans="1:3">
      <c r="A104" s="85">
        <v>46354</v>
      </c>
      <c r="B104" t="s">
        <v>1486</v>
      </c>
    </row>
    <row r="105" spans="1:3">
      <c r="A105" s="85">
        <v>46355</v>
      </c>
      <c r="B105" t="s">
        <v>1487</v>
      </c>
    </row>
    <row r="106" spans="1:3">
      <c r="A106" s="85">
        <v>46361</v>
      </c>
      <c r="B106" t="s">
        <v>1486</v>
      </c>
    </row>
    <row r="107" spans="1:3">
      <c r="A107" s="85">
        <v>46362</v>
      </c>
      <c r="B107" t="s">
        <v>1487</v>
      </c>
    </row>
    <row r="108" spans="1:3">
      <c r="A108" s="85">
        <v>46368</v>
      </c>
      <c r="B108" t="s">
        <v>1486</v>
      </c>
    </row>
    <row r="109" spans="1:3">
      <c r="A109" s="85">
        <v>46369</v>
      </c>
      <c r="B109" t="s">
        <v>1487</v>
      </c>
    </row>
    <row r="110" spans="1:3">
      <c r="A110" s="85">
        <v>46375</v>
      </c>
      <c r="B110" t="s">
        <v>1486</v>
      </c>
    </row>
    <row r="111" spans="1:3">
      <c r="A111" s="85">
        <v>46376</v>
      </c>
      <c r="B111" t="s">
        <v>1487</v>
      </c>
    </row>
    <row r="112" spans="1:3">
      <c r="A112" s="85">
        <v>46381</v>
      </c>
      <c r="B112" t="s">
        <v>1489</v>
      </c>
      <c r="C112" t="s">
        <v>1499</v>
      </c>
    </row>
    <row r="113" spans="1:3">
      <c r="A113" s="85">
        <v>46382</v>
      </c>
      <c r="B113" t="s">
        <v>1486</v>
      </c>
    </row>
    <row r="114" spans="1:3">
      <c r="A114" s="85">
        <v>46383</v>
      </c>
      <c r="B114" t="s">
        <v>1487</v>
      </c>
    </row>
    <row r="115" spans="1:3">
      <c r="A115" s="85">
        <v>46387</v>
      </c>
      <c r="B115" t="s">
        <v>1485</v>
      </c>
    </row>
    <row r="116" spans="1:3">
      <c r="A116" s="85">
        <v>46388</v>
      </c>
      <c r="B116" t="s">
        <v>1489</v>
      </c>
      <c r="C116" t="s">
        <v>1491</v>
      </c>
    </row>
    <row r="117" spans="1:3">
      <c r="A117" s="85">
        <v>46389</v>
      </c>
      <c r="B117" t="s">
        <v>1486</v>
      </c>
    </row>
    <row r="118" spans="1:3">
      <c r="A118" s="85">
        <v>46390</v>
      </c>
      <c r="B118" t="s">
        <v>1487</v>
      </c>
    </row>
    <row r="119" spans="1:3">
      <c r="A119" s="85">
        <v>46396</v>
      </c>
      <c r="B119" t="s">
        <v>1486</v>
      </c>
    </row>
    <row r="120" spans="1:3">
      <c r="A120" s="85">
        <v>46397</v>
      </c>
      <c r="B120" t="s">
        <v>1487</v>
      </c>
    </row>
    <row r="121" spans="1:3">
      <c r="A121" s="85">
        <v>46403</v>
      </c>
      <c r="B121" t="s">
        <v>1486</v>
      </c>
    </row>
    <row r="122" spans="1:3">
      <c r="A122" s="85">
        <v>46404</v>
      </c>
      <c r="B122" t="s">
        <v>1487</v>
      </c>
    </row>
    <row r="123" spans="1:3">
      <c r="A123" s="85">
        <v>46405</v>
      </c>
      <c r="B123" t="s">
        <v>1488</v>
      </c>
      <c r="C123" t="s">
        <v>1492</v>
      </c>
    </row>
    <row r="124" spans="1:3">
      <c r="A124" s="85">
        <v>46410</v>
      </c>
      <c r="B124" t="s">
        <v>1486</v>
      </c>
    </row>
    <row r="125" spans="1:3">
      <c r="A125" s="85">
        <v>46411</v>
      </c>
      <c r="B125" t="s">
        <v>1487</v>
      </c>
    </row>
    <row r="126" spans="1:3">
      <c r="A126" s="85">
        <v>46417</v>
      </c>
      <c r="B126" t="s">
        <v>1486</v>
      </c>
    </row>
    <row r="127" spans="1:3">
      <c r="A127" s="85">
        <v>46418</v>
      </c>
      <c r="B127" t="s">
        <v>1487</v>
      </c>
    </row>
    <row r="128" spans="1:3">
      <c r="A128" s="85">
        <v>46424</v>
      </c>
      <c r="B128" t="s">
        <v>1486</v>
      </c>
    </row>
    <row r="129" spans="1:3">
      <c r="A129" s="85">
        <v>46425</v>
      </c>
      <c r="B129" t="s">
        <v>1487</v>
      </c>
    </row>
    <row r="130" spans="1:3">
      <c r="A130" s="85">
        <v>46431</v>
      </c>
      <c r="B130" t="s">
        <v>1486</v>
      </c>
    </row>
    <row r="131" spans="1:3">
      <c r="A131" s="85">
        <v>46432</v>
      </c>
      <c r="B131" t="s">
        <v>1487</v>
      </c>
    </row>
    <row r="132" spans="1:3">
      <c r="A132" s="85">
        <v>46433</v>
      </c>
      <c r="B132" t="s">
        <v>1488</v>
      </c>
      <c r="C132" t="s">
        <v>1493</v>
      </c>
    </row>
    <row r="133" spans="1:3">
      <c r="A133" s="85">
        <v>46438</v>
      </c>
      <c r="B133" t="s">
        <v>1486</v>
      </c>
    </row>
    <row r="134" spans="1:3">
      <c r="A134" s="85">
        <v>46439</v>
      </c>
      <c r="B134" t="s">
        <v>1487</v>
      </c>
    </row>
    <row r="135" spans="1:3">
      <c r="A135" s="85">
        <v>46445</v>
      </c>
      <c r="B135" t="s">
        <v>1486</v>
      </c>
    </row>
    <row r="136" spans="1:3">
      <c r="A136" s="85">
        <v>46446</v>
      </c>
      <c r="B136" t="s">
        <v>1487</v>
      </c>
    </row>
    <row r="137" spans="1:3">
      <c r="A137" s="85">
        <v>46452</v>
      </c>
      <c r="B137" t="s">
        <v>1486</v>
      </c>
    </row>
    <row r="138" spans="1:3">
      <c r="A138" s="85">
        <v>46453</v>
      </c>
      <c r="B138" t="s">
        <v>1487</v>
      </c>
    </row>
    <row r="139" spans="1:3">
      <c r="A139" s="85">
        <v>46459</v>
      </c>
      <c r="B139" t="s">
        <v>1486</v>
      </c>
    </row>
    <row r="140" spans="1:3">
      <c r="A140" s="85">
        <v>46460</v>
      </c>
      <c r="B140" t="s">
        <v>1487</v>
      </c>
    </row>
    <row r="141" spans="1:3">
      <c r="A141" s="85">
        <v>46466</v>
      </c>
      <c r="B141" t="s">
        <v>1486</v>
      </c>
    </row>
    <row r="142" spans="1:3">
      <c r="A142" s="85">
        <v>46467</v>
      </c>
      <c r="B142" t="s">
        <v>1487</v>
      </c>
    </row>
    <row r="143" spans="1:3">
      <c r="A143" s="85">
        <v>46472</v>
      </c>
      <c r="B143" t="s">
        <v>1489</v>
      </c>
      <c r="C143" t="s">
        <v>1494</v>
      </c>
    </row>
    <row r="144" spans="1:3">
      <c r="A144" s="85">
        <v>46473</v>
      </c>
      <c r="B144" t="s">
        <v>1486</v>
      </c>
    </row>
    <row r="145" spans="1:2">
      <c r="A145" s="85">
        <v>46474</v>
      </c>
      <c r="B145" t="s">
        <v>1487</v>
      </c>
    </row>
    <row r="146" spans="1:2">
      <c r="A146" s="85">
        <v>46480</v>
      </c>
      <c r="B146" t="s">
        <v>1486</v>
      </c>
    </row>
    <row r="147" spans="1:2">
      <c r="A147" s="85">
        <v>46481</v>
      </c>
      <c r="B147" t="s">
        <v>1487</v>
      </c>
    </row>
    <row r="148" spans="1:2">
      <c r="A148" s="85">
        <v>46487</v>
      </c>
      <c r="B148" t="s">
        <v>1486</v>
      </c>
    </row>
    <row r="149" spans="1:2">
      <c r="A149" s="85">
        <v>46488</v>
      </c>
      <c r="B149" t="s">
        <v>1487</v>
      </c>
    </row>
    <row r="150" spans="1:2">
      <c r="A150" s="85">
        <v>46494</v>
      </c>
      <c r="B150" t="s">
        <v>1486</v>
      </c>
    </row>
    <row r="151" spans="1:2">
      <c r="A151" s="85">
        <v>46495</v>
      </c>
      <c r="B151" t="s">
        <v>1487</v>
      </c>
    </row>
    <row r="152" spans="1:2">
      <c r="A152" s="85">
        <v>46501</v>
      </c>
      <c r="B152" t="s">
        <v>1486</v>
      </c>
    </row>
    <row r="153" spans="1:2">
      <c r="A153" s="85">
        <v>46502</v>
      </c>
      <c r="B153" t="s">
        <v>1487</v>
      </c>
    </row>
    <row r="154" spans="1:2">
      <c r="A154" s="85">
        <v>46508</v>
      </c>
      <c r="B154" t="s">
        <v>1486</v>
      </c>
    </row>
    <row r="155" spans="1:2">
      <c r="A155" s="85">
        <v>46509</v>
      </c>
      <c r="B155" t="s">
        <v>1487</v>
      </c>
    </row>
    <row r="156" spans="1:2">
      <c r="A156" s="85">
        <v>46515</v>
      </c>
      <c r="B156" t="s">
        <v>1486</v>
      </c>
    </row>
    <row r="157" spans="1:2">
      <c r="A157" s="85">
        <v>46516</v>
      </c>
      <c r="B157" t="s">
        <v>1487</v>
      </c>
    </row>
    <row r="158" spans="1:2">
      <c r="A158" s="85">
        <v>46522</v>
      </c>
      <c r="B158" t="s">
        <v>1486</v>
      </c>
    </row>
    <row r="159" spans="1:2">
      <c r="A159" s="85">
        <v>46523</v>
      </c>
      <c r="B159" t="s">
        <v>1487</v>
      </c>
    </row>
    <row r="160" spans="1:2">
      <c r="A160" s="85">
        <v>46529</v>
      </c>
      <c r="B160" t="s">
        <v>1486</v>
      </c>
    </row>
    <row r="161" spans="1:3">
      <c r="A161" s="85">
        <v>46530</v>
      </c>
      <c r="B161" t="s">
        <v>1487</v>
      </c>
    </row>
    <row r="162" spans="1:3">
      <c r="A162" s="85">
        <v>46536</v>
      </c>
      <c r="B162" t="s">
        <v>1486</v>
      </c>
    </row>
    <row r="163" spans="1:3">
      <c r="A163" s="85">
        <v>46537</v>
      </c>
      <c r="B163" t="s">
        <v>1487</v>
      </c>
    </row>
    <row r="164" spans="1:3">
      <c r="A164" s="85">
        <v>46538</v>
      </c>
      <c r="B164" t="s">
        <v>1488</v>
      </c>
      <c r="C164" t="s">
        <v>1495</v>
      </c>
    </row>
    <row r="165" spans="1:3">
      <c r="A165" s="85">
        <v>46543</v>
      </c>
      <c r="B165" t="s">
        <v>1486</v>
      </c>
    </row>
    <row r="166" spans="1:3">
      <c r="A166" s="85">
        <v>46544</v>
      </c>
      <c r="B166" t="s">
        <v>1487</v>
      </c>
    </row>
    <row r="167" spans="1:3">
      <c r="A167" s="85">
        <v>46550</v>
      </c>
      <c r="B167" t="s">
        <v>1486</v>
      </c>
    </row>
    <row r="168" spans="1:3">
      <c r="A168" s="85">
        <v>46551</v>
      </c>
      <c r="B168" t="s">
        <v>1487</v>
      </c>
    </row>
    <row r="169" spans="1:3">
      <c r="A169" s="85">
        <v>46556</v>
      </c>
      <c r="B169" t="s">
        <v>1489</v>
      </c>
      <c r="C169" t="s">
        <v>1500</v>
      </c>
    </row>
    <row r="170" spans="1:3">
      <c r="A170" s="85">
        <v>46557</v>
      </c>
      <c r="B170" t="s">
        <v>1486</v>
      </c>
    </row>
    <row r="171" spans="1:3">
      <c r="A171" s="85">
        <v>46558</v>
      </c>
      <c r="B171" t="s">
        <v>1487</v>
      </c>
    </row>
    <row r="172" spans="1:3">
      <c r="A172" s="85">
        <v>46564</v>
      </c>
      <c r="B172" t="s">
        <v>1486</v>
      </c>
    </row>
    <row r="173" spans="1:3">
      <c r="A173" s="85">
        <v>46565</v>
      </c>
      <c r="B173" t="s">
        <v>1487</v>
      </c>
    </row>
    <row r="174" spans="1:3">
      <c r="A174" s="85">
        <v>46571</v>
      </c>
      <c r="B174" t="s">
        <v>1486</v>
      </c>
    </row>
    <row r="175" spans="1:3">
      <c r="A175" s="85">
        <v>46572</v>
      </c>
      <c r="B175" t="s">
        <v>1487</v>
      </c>
    </row>
    <row r="176" spans="1:3">
      <c r="A176" s="85">
        <v>46573</v>
      </c>
      <c r="B176" t="s">
        <v>1488</v>
      </c>
      <c r="C176" t="s">
        <v>1496</v>
      </c>
    </row>
    <row r="177" spans="1:2">
      <c r="A177" s="85">
        <v>46578</v>
      </c>
      <c r="B177" t="s">
        <v>1486</v>
      </c>
    </row>
    <row r="178" spans="1:2">
      <c r="A178" s="85">
        <v>46579</v>
      </c>
      <c r="B178" t="s">
        <v>1487</v>
      </c>
    </row>
    <row r="179" spans="1:2">
      <c r="A179" s="85">
        <v>46585</v>
      </c>
      <c r="B179" t="s">
        <v>1486</v>
      </c>
    </row>
    <row r="180" spans="1:2">
      <c r="A180" s="85">
        <v>46586</v>
      </c>
      <c r="B180" t="s">
        <v>1487</v>
      </c>
    </row>
    <row r="181" spans="1:2">
      <c r="A181" s="85">
        <v>46592</v>
      </c>
      <c r="B181" t="s">
        <v>1486</v>
      </c>
    </row>
    <row r="182" spans="1:2">
      <c r="A182" s="85">
        <v>46593</v>
      </c>
      <c r="B182" t="s">
        <v>1487</v>
      </c>
    </row>
    <row r="183" spans="1:2">
      <c r="A183" s="85">
        <v>46599</v>
      </c>
      <c r="B183" t="s">
        <v>1486</v>
      </c>
    </row>
    <row r="184" spans="1:2">
      <c r="A184" s="85">
        <v>46600</v>
      </c>
      <c r="B184" t="s">
        <v>1487</v>
      </c>
    </row>
    <row r="185" spans="1:2">
      <c r="A185" s="85">
        <v>46606</v>
      </c>
      <c r="B185" t="s">
        <v>1486</v>
      </c>
    </row>
    <row r="186" spans="1:2">
      <c r="A186" s="85">
        <v>46607</v>
      </c>
      <c r="B186" t="s">
        <v>1487</v>
      </c>
    </row>
    <row r="187" spans="1:2">
      <c r="A187" s="85">
        <v>46613</v>
      </c>
      <c r="B187" t="s">
        <v>1486</v>
      </c>
    </row>
    <row r="188" spans="1:2">
      <c r="A188" s="85">
        <v>46614</v>
      </c>
      <c r="B188" t="s">
        <v>1487</v>
      </c>
    </row>
    <row r="189" spans="1:2">
      <c r="A189" s="85">
        <v>46620</v>
      </c>
      <c r="B189" t="s">
        <v>1486</v>
      </c>
    </row>
    <row r="190" spans="1:2">
      <c r="A190" s="85">
        <v>46621</v>
      </c>
      <c r="B190" t="s">
        <v>1487</v>
      </c>
    </row>
    <row r="191" spans="1:2">
      <c r="A191" s="85">
        <v>46627</v>
      </c>
      <c r="B191" t="s">
        <v>1486</v>
      </c>
    </row>
    <row r="192" spans="1:2">
      <c r="A192" s="85">
        <v>46628</v>
      </c>
      <c r="B192" t="s">
        <v>1487</v>
      </c>
    </row>
    <row r="193" spans="1:3">
      <c r="A193" s="85">
        <v>46634</v>
      </c>
      <c r="B193" t="s">
        <v>1486</v>
      </c>
    </row>
    <row r="194" spans="1:3">
      <c r="A194" s="85">
        <v>46635</v>
      </c>
      <c r="B194" t="s">
        <v>1487</v>
      </c>
    </row>
    <row r="195" spans="1:3">
      <c r="A195" s="85">
        <v>46636</v>
      </c>
      <c r="B195" t="s">
        <v>1488</v>
      </c>
      <c r="C195" t="s">
        <v>1497</v>
      </c>
    </row>
    <row r="196" spans="1:3">
      <c r="A196" s="85">
        <v>46641</v>
      </c>
      <c r="B196" t="s">
        <v>1486</v>
      </c>
    </row>
    <row r="197" spans="1:3">
      <c r="A197" s="85">
        <v>46642</v>
      </c>
      <c r="B197" t="s">
        <v>1487</v>
      </c>
    </row>
    <row r="198" spans="1:3">
      <c r="A198" s="85">
        <v>46648</v>
      </c>
      <c r="B198" t="s">
        <v>1486</v>
      </c>
    </row>
    <row r="199" spans="1:3">
      <c r="A199" s="85">
        <v>46649</v>
      </c>
      <c r="B199" t="s">
        <v>1487</v>
      </c>
    </row>
    <row r="200" spans="1:3">
      <c r="A200" s="85">
        <v>46655</v>
      </c>
      <c r="B200" t="s">
        <v>1486</v>
      </c>
    </row>
    <row r="201" spans="1:3">
      <c r="A201" s="85">
        <v>46656</v>
      </c>
      <c r="B201" t="s">
        <v>1487</v>
      </c>
    </row>
    <row r="202" spans="1:3">
      <c r="A202" s="85">
        <v>46662</v>
      </c>
      <c r="B202" t="s">
        <v>1486</v>
      </c>
    </row>
    <row r="203" spans="1:3">
      <c r="A203" s="85">
        <v>46663</v>
      </c>
      <c r="B203" t="s">
        <v>1487</v>
      </c>
    </row>
    <row r="204" spans="1:3">
      <c r="A204" s="85">
        <v>46669</v>
      </c>
      <c r="B204" t="s">
        <v>1486</v>
      </c>
    </row>
    <row r="205" spans="1:3">
      <c r="A205" s="85">
        <v>46670</v>
      </c>
      <c r="B205" t="s">
        <v>1487</v>
      </c>
    </row>
    <row r="206" spans="1:3">
      <c r="A206" s="85">
        <v>46676</v>
      </c>
      <c r="B206" t="s">
        <v>1486</v>
      </c>
    </row>
    <row r="207" spans="1:3">
      <c r="A207" s="85">
        <v>46677</v>
      </c>
      <c r="B207" t="s">
        <v>1487</v>
      </c>
    </row>
    <row r="208" spans="1:3">
      <c r="A208" s="85">
        <v>46683</v>
      </c>
      <c r="B208" t="s">
        <v>1486</v>
      </c>
    </row>
    <row r="209" spans="1:3">
      <c r="A209" s="85">
        <v>46684</v>
      </c>
      <c r="B209" t="s">
        <v>1487</v>
      </c>
    </row>
    <row r="210" spans="1:3">
      <c r="A210" s="85">
        <v>46690</v>
      </c>
      <c r="B210" t="s">
        <v>1486</v>
      </c>
    </row>
    <row r="211" spans="1:3">
      <c r="A211" s="85">
        <v>46691</v>
      </c>
      <c r="B211" t="s">
        <v>1487</v>
      </c>
    </row>
    <row r="212" spans="1:3">
      <c r="A212" s="85">
        <v>46697</v>
      </c>
      <c r="B212" t="s">
        <v>1486</v>
      </c>
    </row>
    <row r="213" spans="1:3">
      <c r="A213" s="85">
        <v>46698</v>
      </c>
      <c r="B213" t="s">
        <v>1487</v>
      </c>
    </row>
    <row r="214" spans="1:3">
      <c r="A214" s="85">
        <v>46704</v>
      </c>
      <c r="B214" t="s">
        <v>1486</v>
      </c>
    </row>
    <row r="215" spans="1:3">
      <c r="A215" s="85">
        <v>46705</v>
      </c>
      <c r="B215" t="s">
        <v>1487</v>
      </c>
    </row>
    <row r="216" spans="1:3">
      <c r="A216" s="85">
        <v>46711</v>
      </c>
      <c r="B216" t="s">
        <v>1486</v>
      </c>
    </row>
    <row r="217" spans="1:3">
      <c r="A217" s="85">
        <v>46712</v>
      </c>
      <c r="B217" t="s">
        <v>1487</v>
      </c>
    </row>
    <row r="218" spans="1:3">
      <c r="A218" s="85">
        <v>46716</v>
      </c>
      <c r="B218" t="s">
        <v>1485</v>
      </c>
      <c r="C218" t="s">
        <v>1498</v>
      </c>
    </row>
    <row r="219" spans="1:3">
      <c r="A219" s="85">
        <v>46718</v>
      </c>
      <c r="B219" t="s">
        <v>1486</v>
      </c>
    </row>
    <row r="220" spans="1:3">
      <c r="A220" s="85">
        <v>46719</v>
      </c>
      <c r="B220" t="s">
        <v>1487</v>
      </c>
    </row>
    <row r="221" spans="1:3">
      <c r="A221" s="85">
        <v>46725</v>
      </c>
      <c r="B221" t="s">
        <v>1486</v>
      </c>
    </row>
    <row r="222" spans="1:3">
      <c r="A222" s="85">
        <v>46726</v>
      </c>
      <c r="B222" t="s">
        <v>1487</v>
      </c>
    </row>
    <row r="223" spans="1:3">
      <c r="A223" s="85">
        <v>46732</v>
      </c>
      <c r="B223" t="s">
        <v>1486</v>
      </c>
    </row>
    <row r="224" spans="1:3">
      <c r="A224" s="85">
        <v>46733</v>
      </c>
      <c r="B224" t="s">
        <v>1487</v>
      </c>
    </row>
    <row r="225" spans="1:3">
      <c r="A225" s="85">
        <v>46739</v>
      </c>
      <c r="B225" t="s">
        <v>1486</v>
      </c>
    </row>
    <row r="226" spans="1:3">
      <c r="A226" s="85">
        <v>46740</v>
      </c>
      <c r="B226" t="s">
        <v>1487</v>
      </c>
    </row>
    <row r="227" spans="1:3">
      <c r="A227" s="85">
        <v>46745</v>
      </c>
      <c r="B227" t="s">
        <v>1489</v>
      </c>
      <c r="C227" t="s">
        <v>1501</v>
      </c>
    </row>
    <row r="228" spans="1:3">
      <c r="A228" s="85">
        <v>46746</v>
      </c>
      <c r="B228" t="s">
        <v>1486</v>
      </c>
    </row>
    <row r="229" spans="1:3">
      <c r="A229" s="85">
        <v>46747</v>
      </c>
      <c r="B229" t="s">
        <v>1487</v>
      </c>
    </row>
    <row r="230" spans="1:3">
      <c r="A230" s="85">
        <v>46752</v>
      </c>
      <c r="B230" t="s">
        <v>1489</v>
      </c>
    </row>
  </sheetData>
  <phoneticPr fontId="2"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988794-3DA5-4CF9-B6D3-9029EAC8A42C}">
  <sheetPr codeName="工作表9"/>
  <dimension ref="A1:V17"/>
  <sheetViews>
    <sheetView workbookViewId="0">
      <selection activeCell="C2" sqref="C2"/>
    </sheetView>
  </sheetViews>
  <sheetFormatPr defaultRowHeight="15.75"/>
  <cols>
    <col min="1" max="1" width="18.5" bestFit="1" customWidth="1"/>
    <col min="2" max="2" width="6.5" customWidth="1"/>
    <col min="3" max="3" width="6.375" bestFit="1" customWidth="1"/>
    <col min="5" max="5" width="14.5" customWidth="1"/>
    <col min="6" max="6" width="11.75" customWidth="1"/>
    <col min="7" max="7" width="12.875" customWidth="1"/>
    <col min="8" max="10" width="12.5" bestFit="1" customWidth="1"/>
    <col min="13" max="13" width="12.5" customWidth="1"/>
    <col min="14" max="14" width="12.625" bestFit="1" customWidth="1"/>
    <col min="21" max="21" width="14.5" customWidth="1"/>
    <col min="22" max="22" width="22.125" customWidth="1"/>
  </cols>
  <sheetData>
    <row r="1" spans="1:22" ht="47.25">
      <c r="A1" s="12" t="s">
        <v>21</v>
      </c>
      <c r="B1" s="13" t="s">
        <v>22</v>
      </c>
      <c r="C1" s="13" t="s">
        <v>38</v>
      </c>
      <c r="D1" s="13" t="s">
        <v>23</v>
      </c>
      <c r="E1" s="13" t="s">
        <v>24</v>
      </c>
      <c r="F1" s="13" t="s">
        <v>25</v>
      </c>
      <c r="G1" s="13" t="s">
        <v>26</v>
      </c>
      <c r="H1" s="13" t="s">
        <v>27</v>
      </c>
      <c r="I1" s="13" t="s">
        <v>28</v>
      </c>
      <c r="J1" s="13" t="s">
        <v>29</v>
      </c>
      <c r="K1" s="13" t="s">
        <v>30</v>
      </c>
      <c r="L1" s="13" t="s">
        <v>31</v>
      </c>
      <c r="M1" s="13" t="s">
        <v>32</v>
      </c>
      <c r="N1" s="13" t="s">
        <v>1432</v>
      </c>
      <c r="O1" s="13" t="s">
        <v>1531</v>
      </c>
      <c r="P1" s="13" t="s">
        <v>33</v>
      </c>
      <c r="Q1" s="13" t="s">
        <v>34</v>
      </c>
      <c r="R1" s="13" t="s">
        <v>35</v>
      </c>
      <c r="S1" s="13" t="s">
        <v>36</v>
      </c>
      <c r="T1" s="93" t="s">
        <v>1533</v>
      </c>
      <c r="U1" s="13" t="s">
        <v>37</v>
      </c>
      <c r="V1" s="81" t="s">
        <v>1532</v>
      </c>
    </row>
    <row r="2" spans="1:22">
      <c r="A2" s="14" t="s">
        <v>291</v>
      </c>
      <c r="B2" s="113" t="s">
        <v>1632</v>
      </c>
      <c r="C2" s="114"/>
      <c r="D2" s="114"/>
      <c r="E2" s="114"/>
      <c r="F2" s="114"/>
      <c r="G2" s="114"/>
      <c r="H2" s="15"/>
      <c r="I2" s="114"/>
      <c r="J2" s="114"/>
      <c r="K2" s="114"/>
      <c r="L2" s="114"/>
      <c r="M2" s="114"/>
      <c r="N2" s="114"/>
      <c r="O2" s="114"/>
      <c r="P2" s="114"/>
      <c r="Q2" s="114"/>
      <c r="R2" s="114"/>
      <c r="S2" s="114"/>
      <c r="T2" s="114"/>
      <c r="U2" s="15"/>
      <c r="V2" s="115">
        <v>0</v>
      </c>
    </row>
    <row r="3" spans="1:22" ht="16.5" thickBot="1">
      <c r="A3" s="14" t="s">
        <v>294</v>
      </c>
      <c r="B3" s="109" t="s">
        <v>22</v>
      </c>
      <c r="C3" s="110" t="s">
        <v>399</v>
      </c>
      <c r="D3" s="110" t="s">
        <v>23</v>
      </c>
      <c r="E3" s="111" t="s">
        <v>1641</v>
      </c>
      <c r="F3" s="110" t="s">
        <v>25</v>
      </c>
      <c r="G3" s="110" t="s">
        <v>26</v>
      </c>
      <c r="H3" s="110" t="s">
        <v>27</v>
      </c>
      <c r="I3" s="110" t="s">
        <v>28</v>
      </c>
      <c r="J3" s="110" t="s">
        <v>29</v>
      </c>
      <c r="K3" s="110" t="s">
        <v>30</v>
      </c>
      <c r="L3" s="110" t="s">
        <v>31</v>
      </c>
      <c r="M3" s="110" t="s">
        <v>32</v>
      </c>
      <c r="N3" s="110" t="s">
        <v>1642</v>
      </c>
      <c r="O3" s="110" t="s">
        <v>1643</v>
      </c>
      <c r="P3" s="110" t="s">
        <v>33</v>
      </c>
      <c r="Q3" s="110" t="s">
        <v>34</v>
      </c>
      <c r="R3" s="108" t="s">
        <v>35</v>
      </c>
      <c r="S3" s="108" t="s">
        <v>36</v>
      </c>
      <c r="T3" s="110" t="s">
        <v>1644</v>
      </c>
      <c r="U3" s="108" t="s">
        <v>37</v>
      </c>
      <c r="V3" s="112" t="s">
        <v>1645</v>
      </c>
    </row>
    <row r="4" spans="1:22" ht="32.25" thickBot="1">
      <c r="A4" s="14" t="s">
        <v>294</v>
      </c>
      <c r="C4" t="s">
        <v>1635</v>
      </c>
      <c r="E4" s="13" t="s">
        <v>1634</v>
      </c>
      <c r="K4" s="107" t="s">
        <v>1636</v>
      </c>
      <c r="L4" t="s">
        <v>1633</v>
      </c>
      <c r="M4" s="107" t="s">
        <v>1636</v>
      </c>
      <c r="V4">
        <v>0</v>
      </c>
    </row>
    <row r="5" spans="1:22" ht="16.5" thickBot="1">
      <c r="C5" t="s">
        <v>1637</v>
      </c>
      <c r="K5" s="107" t="s">
        <v>1638</v>
      </c>
      <c r="M5" t="s">
        <v>1639</v>
      </c>
      <c r="V5">
        <v>0</v>
      </c>
    </row>
    <row r="6" spans="1:22">
      <c r="C6" t="s">
        <v>1640</v>
      </c>
      <c r="K6" t="s">
        <v>1638</v>
      </c>
      <c r="M6" t="s">
        <v>1639</v>
      </c>
      <c r="V6">
        <v>0</v>
      </c>
    </row>
    <row r="7" spans="1:22">
      <c r="A7" s="14" t="s">
        <v>299</v>
      </c>
      <c r="B7" s="109" t="s">
        <v>22</v>
      </c>
      <c r="C7" s="110" t="s">
        <v>399</v>
      </c>
      <c r="D7" s="110" t="s">
        <v>23</v>
      </c>
      <c r="E7" s="111" t="s">
        <v>1641</v>
      </c>
      <c r="F7" s="110" t="s">
        <v>25</v>
      </c>
      <c r="G7" s="110" t="s">
        <v>26</v>
      </c>
      <c r="H7" s="110" t="s">
        <v>27</v>
      </c>
      <c r="I7" s="110" t="s">
        <v>28</v>
      </c>
      <c r="J7" s="110" t="s">
        <v>29</v>
      </c>
      <c r="K7" s="110" t="s">
        <v>30</v>
      </c>
      <c r="L7" s="110" t="s">
        <v>31</v>
      </c>
      <c r="M7" s="110" t="s">
        <v>32</v>
      </c>
      <c r="N7" s="110" t="s">
        <v>1642</v>
      </c>
      <c r="O7" s="110" t="s">
        <v>1643</v>
      </c>
      <c r="P7" s="110" t="s">
        <v>33</v>
      </c>
      <c r="Q7" s="110" t="s">
        <v>34</v>
      </c>
      <c r="R7" s="108" t="s">
        <v>35</v>
      </c>
      <c r="S7" s="108" t="s">
        <v>36</v>
      </c>
      <c r="T7" s="110" t="s">
        <v>1644</v>
      </c>
      <c r="U7" s="108" t="s">
        <v>37</v>
      </c>
      <c r="V7" s="112" t="s">
        <v>1645</v>
      </c>
    </row>
    <row r="8" spans="1:22">
      <c r="A8" s="14"/>
      <c r="C8" t="s">
        <v>1637</v>
      </c>
      <c r="E8" t="s">
        <v>1648</v>
      </c>
      <c r="K8" t="s">
        <v>1638</v>
      </c>
      <c r="L8" t="s">
        <v>1633</v>
      </c>
      <c r="M8" t="s">
        <v>1638</v>
      </c>
      <c r="N8" t="s">
        <v>1646</v>
      </c>
      <c r="O8" t="s">
        <v>1647</v>
      </c>
      <c r="P8" t="s">
        <v>1648</v>
      </c>
    </row>
    <row r="9" spans="1:22">
      <c r="A9" s="14"/>
      <c r="C9" t="s">
        <v>1640</v>
      </c>
      <c r="K9" t="s">
        <v>1650</v>
      </c>
      <c r="M9" t="s">
        <v>1650</v>
      </c>
    </row>
    <row r="10" spans="1:22">
      <c r="A10" s="14"/>
    </row>
    <row r="11" spans="1:22">
      <c r="A11" s="14" t="s">
        <v>300</v>
      </c>
      <c r="B11" s="109" t="s">
        <v>22</v>
      </c>
      <c r="C11" s="110" t="s">
        <v>399</v>
      </c>
      <c r="D11" s="110" t="s">
        <v>23</v>
      </c>
      <c r="E11" s="111" t="s">
        <v>1641</v>
      </c>
      <c r="F11" s="110" t="s">
        <v>25</v>
      </c>
      <c r="G11" s="110" t="s">
        <v>26</v>
      </c>
      <c r="H11" s="110" t="s">
        <v>27</v>
      </c>
      <c r="I11" s="110" t="s">
        <v>28</v>
      </c>
      <c r="J11" s="110" t="s">
        <v>29</v>
      </c>
      <c r="K11" s="110" t="s">
        <v>30</v>
      </c>
      <c r="L11" s="110" t="s">
        <v>31</v>
      </c>
      <c r="M11" s="110" t="s">
        <v>32</v>
      </c>
      <c r="N11" s="110" t="s">
        <v>1642</v>
      </c>
      <c r="O11" s="110" t="s">
        <v>1643</v>
      </c>
      <c r="P11" s="110" t="s">
        <v>33</v>
      </c>
      <c r="Q11" s="110" t="s">
        <v>34</v>
      </c>
      <c r="R11" s="108" t="s">
        <v>35</v>
      </c>
      <c r="S11" s="108" t="s">
        <v>36</v>
      </c>
      <c r="T11" s="110" t="s">
        <v>1644</v>
      </c>
      <c r="U11" s="108" t="s">
        <v>37</v>
      </c>
      <c r="V11" s="112" t="s">
        <v>1645</v>
      </c>
    </row>
    <row r="12" spans="1:22">
      <c r="A12" s="14"/>
      <c r="C12" t="s">
        <v>1649</v>
      </c>
      <c r="E12" t="s">
        <v>1648</v>
      </c>
      <c r="K12" t="s">
        <v>1638</v>
      </c>
      <c r="L12" t="s">
        <v>1633</v>
      </c>
      <c r="M12" t="s">
        <v>1638</v>
      </c>
      <c r="P12" t="s">
        <v>1648</v>
      </c>
    </row>
    <row r="13" spans="1:22" ht="16.5" customHeight="1">
      <c r="A13" s="14" t="s">
        <v>1586</v>
      </c>
      <c r="B13" s="113"/>
      <c r="C13" s="114"/>
      <c r="D13" s="114"/>
      <c r="E13" s="116">
        <v>0</v>
      </c>
      <c r="F13" s="114"/>
      <c r="G13" s="114"/>
      <c r="H13" s="15"/>
      <c r="I13" s="114"/>
      <c r="J13" s="114"/>
      <c r="K13" s="114"/>
      <c r="L13" s="114"/>
      <c r="M13" s="114"/>
      <c r="N13" s="114"/>
      <c r="O13" s="114"/>
      <c r="P13" s="114"/>
      <c r="Q13" s="114"/>
      <c r="R13" s="114"/>
      <c r="S13" s="114"/>
      <c r="T13" s="114"/>
      <c r="U13" s="15"/>
      <c r="V13" s="115">
        <v>0</v>
      </c>
    </row>
    <row r="14" spans="1:22">
      <c r="A14" s="14" t="s">
        <v>1578</v>
      </c>
      <c r="B14" s="113"/>
      <c r="C14" s="114"/>
      <c r="D14" s="114"/>
      <c r="E14" s="114"/>
      <c r="F14" s="114"/>
      <c r="G14" s="114"/>
      <c r="H14" s="15"/>
      <c r="I14" s="114"/>
      <c r="J14" s="114"/>
      <c r="K14" s="114"/>
      <c r="L14" s="114"/>
      <c r="M14" s="114"/>
      <c r="N14" s="114"/>
      <c r="O14" s="114"/>
      <c r="P14" s="114"/>
      <c r="Q14" s="114"/>
      <c r="R14" s="114"/>
      <c r="S14" s="114"/>
      <c r="T14" s="114"/>
      <c r="U14" s="114" t="s">
        <v>1651</v>
      </c>
      <c r="V14" s="115">
        <v>0</v>
      </c>
    </row>
    <row r="17" spans="1:22">
      <c r="A17" s="14" t="s">
        <v>290</v>
      </c>
      <c r="B17" s="119"/>
      <c r="C17" s="119"/>
      <c r="D17" s="119"/>
      <c r="E17" s="119" t="s">
        <v>1661</v>
      </c>
      <c r="F17" s="120" t="s">
        <v>197</v>
      </c>
      <c r="G17" s="121" t="s">
        <v>250</v>
      </c>
      <c r="O17" s="119" t="s">
        <v>1662</v>
      </c>
      <c r="P17" s="119"/>
      <c r="Q17" s="119" t="s">
        <v>298</v>
      </c>
      <c r="T17" s="119">
        <v>100</v>
      </c>
      <c r="V17">
        <v>0</v>
      </c>
    </row>
  </sheetData>
  <phoneticPr fontId="2" type="noConversion"/>
  <dataValidations count="1">
    <dataValidation type="list" allowBlank="1" showInputMessage="1" showErrorMessage="1" sqref="Q2:Q3 Q7:Q14 Q17" xr:uid="{6E8B0C00-4F47-4D4C-BB8D-43289976C85D}">
      <formula1>"M,Y"</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4">
        <x14:dataValidation type="list" allowBlank="1" showInputMessage="1" showErrorMessage="1" xr:uid="{1245BBB3-A98B-4430-9D9D-2FC00777215F}">
          <x14:formula1>
            <xm:f>Variable!$G$2:$G$4</xm:f>
          </x14:formula1>
          <xm:sqref>R2:R3 R7:R14 R17</xm:sqref>
        </x14:dataValidation>
        <x14:dataValidation type="list" allowBlank="1" showInputMessage="1" showErrorMessage="1" xr:uid="{B05354DE-C729-47A4-A502-F8687CF2B2FB}">
          <x14:formula1>
            <xm:f>Variable!$C$2:$C$5</xm:f>
          </x14:formula1>
          <xm:sqref>L2:L3 L7 L9:L11 L13:L14 L17</xm:sqref>
        </x14:dataValidation>
        <x14:dataValidation type="list" allowBlank="1" showInputMessage="1" showErrorMessage="1" xr:uid="{A81C439E-602A-44EE-BECB-B6EB3D96E941}">
          <x14:formula1>
            <xm:f>Variable!$E$2:$E$11</xm:f>
          </x14:formula1>
          <xm:sqref>D2:D3 D7:D14 D17</xm:sqref>
        </x14:dataValidation>
        <x14:dataValidation type="list" allowBlank="1" showInputMessage="1" showErrorMessage="1" xr:uid="{5B4B77CE-DBE5-44D0-9ACE-5B98AB07E159}">
          <x14:formula1>
            <xm:f>Variable!$D$2:$D$21</xm:f>
          </x14:formula1>
          <xm:sqref>A2:A4 A7:A14 A17</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A033DE-D515-4C00-8080-B7EA9D5427FA}">
  <sheetPr codeName="工作表10"/>
  <dimension ref="A1:W4"/>
  <sheetViews>
    <sheetView workbookViewId="0">
      <selection activeCell="F23" sqref="F23"/>
    </sheetView>
  </sheetViews>
  <sheetFormatPr defaultRowHeight="15.75"/>
  <cols>
    <col min="5" max="5" width="13.375" customWidth="1"/>
    <col min="22" max="22" width="16.5" customWidth="1"/>
  </cols>
  <sheetData>
    <row r="1" spans="1:23" ht="47.25">
      <c r="A1" s="12" t="s">
        <v>21</v>
      </c>
      <c r="B1" s="13" t="s">
        <v>22</v>
      </c>
      <c r="C1" s="13" t="s">
        <v>38</v>
      </c>
      <c r="D1" s="13" t="s">
        <v>23</v>
      </c>
      <c r="E1" s="13" t="s">
        <v>24</v>
      </c>
      <c r="F1" s="13" t="s">
        <v>25</v>
      </c>
      <c r="G1" s="13" t="s">
        <v>26</v>
      </c>
      <c r="H1" s="13" t="s">
        <v>27</v>
      </c>
      <c r="I1" s="13" t="s">
        <v>28</v>
      </c>
      <c r="J1" s="13" t="s">
        <v>29</v>
      </c>
      <c r="K1" s="13" t="s">
        <v>30</v>
      </c>
      <c r="L1" s="13" t="s">
        <v>31</v>
      </c>
      <c r="M1" s="13" t="s">
        <v>32</v>
      </c>
      <c r="N1" s="13" t="s">
        <v>1432</v>
      </c>
      <c r="O1" s="13" t="s">
        <v>1531</v>
      </c>
      <c r="P1" s="13" t="s">
        <v>33</v>
      </c>
      <c r="Q1" s="13" t="s">
        <v>34</v>
      </c>
      <c r="R1" s="13" t="s">
        <v>35</v>
      </c>
      <c r="S1" s="13" t="s">
        <v>36</v>
      </c>
      <c r="T1" s="93" t="s">
        <v>1533</v>
      </c>
      <c r="U1" s="13" t="s">
        <v>37</v>
      </c>
      <c r="V1" s="81" t="s">
        <v>1532</v>
      </c>
      <c r="W1" s="1" t="s">
        <v>1663</v>
      </c>
    </row>
    <row r="2" spans="1:23" ht="16.5">
      <c r="A2" t="s">
        <v>1590</v>
      </c>
      <c r="B2" t="s">
        <v>1664</v>
      </c>
      <c r="C2" t="s">
        <v>1664</v>
      </c>
      <c r="D2" t="s">
        <v>1664</v>
      </c>
      <c r="E2" t="s">
        <v>1664</v>
      </c>
      <c r="F2" t="s">
        <v>1664</v>
      </c>
      <c r="G2" t="s">
        <v>1664</v>
      </c>
      <c r="H2" t="s">
        <v>1664</v>
      </c>
      <c r="I2" t="s">
        <v>1664</v>
      </c>
      <c r="J2" t="s">
        <v>1664</v>
      </c>
      <c r="K2" t="s">
        <v>1664</v>
      </c>
      <c r="L2" t="s">
        <v>1664</v>
      </c>
      <c r="M2" t="s">
        <v>1664</v>
      </c>
      <c r="N2" t="s">
        <v>1664</v>
      </c>
      <c r="O2" t="s">
        <v>1664</v>
      </c>
      <c r="P2" t="s">
        <v>1664</v>
      </c>
      <c r="Q2" t="s">
        <v>1664</v>
      </c>
      <c r="R2" t="s">
        <v>1664</v>
      </c>
      <c r="S2" t="s">
        <v>1664</v>
      </c>
      <c r="T2" t="s">
        <v>1664</v>
      </c>
      <c r="V2" t="s">
        <v>1664</v>
      </c>
      <c r="W2" t="s">
        <v>1665</v>
      </c>
    </row>
    <row r="3" spans="1:23" ht="16.5">
      <c r="A3" t="s">
        <v>1586</v>
      </c>
      <c r="B3" t="s">
        <v>1664</v>
      </c>
      <c r="C3" t="s">
        <v>1664</v>
      </c>
      <c r="D3" t="s">
        <v>1664</v>
      </c>
      <c r="E3">
        <v>0</v>
      </c>
      <c r="F3" t="s">
        <v>1664</v>
      </c>
      <c r="G3" t="s">
        <v>1664</v>
      </c>
      <c r="H3" t="s">
        <v>1664</v>
      </c>
      <c r="I3" t="s">
        <v>1664</v>
      </c>
      <c r="J3" t="s">
        <v>1664</v>
      </c>
      <c r="K3" t="s">
        <v>1664</v>
      </c>
      <c r="L3" t="s">
        <v>1664</v>
      </c>
      <c r="M3" t="s">
        <v>1664</v>
      </c>
      <c r="N3" t="s">
        <v>1664</v>
      </c>
      <c r="O3" t="s">
        <v>1664</v>
      </c>
      <c r="P3" t="s">
        <v>1664</v>
      </c>
      <c r="Q3" t="s">
        <v>1664</v>
      </c>
      <c r="R3" t="s">
        <v>1664</v>
      </c>
      <c r="S3" t="s">
        <v>1664</v>
      </c>
      <c r="T3" t="s">
        <v>1664</v>
      </c>
      <c r="V3" t="s">
        <v>1664</v>
      </c>
      <c r="W3" t="s">
        <v>1667</v>
      </c>
    </row>
    <row r="4" spans="1:23">
      <c r="A4" t="s">
        <v>1666</v>
      </c>
    </row>
  </sheetData>
  <phoneticPr fontId="2"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10</vt:i4>
      </vt:variant>
      <vt:variant>
        <vt:lpstr>具名範圍</vt:lpstr>
      </vt:variant>
      <vt:variant>
        <vt:i4>1</vt:i4>
      </vt:variant>
    </vt:vector>
  </HeadingPairs>
  <TitlesOfParts>
    <vt:vector size="11" baseType="lpstr">
      <vt:lpstr>欄位</vt:lpstr>
      <vt:lpstr>Term</vt:lpstr>
      <vt:lpstr>起單回填</vt:lpstr>
      <vt:lpstr>Variable</vt:lpstr>
      <vt:lpstr>產品名稱</vt:lpstr>
      <vt:lpstr>境外結構型商品承作檢核表</vt:lpstr>
      <vt:lpstr>Underlying</vt:lpstr>
      <vt:lpstr>US Holidays</vt:lpstr>
      <vt:lpstr>工作表1</vt:lpstr>
      <vt:lpstr>起單回填規則</vt:lpstr>
      <vt:lpstr>境外結構型商品承作檢核表!Print_Area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蔡亞㚬71770</dc:creator>
  <cp:lastModifiedBy>任益農72215</cp:lastModifiedBy>
  <dcterms:created xsi:type="dcterms:W3CDTF">2025-11-18T09:46:39Z</dcterms:created>
  <dcterms:modified xsi:type="dcterms:W3CDTF">2026-10-30T06:58:30Z</dcterms:modified>
</cp:coreProperties>
</file>