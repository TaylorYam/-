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202300"/>
  <mc:AlternateContent xmlns:mc="http://schemas.openxmlformats.org/markup-compatibility/2006">
    <mc:Choice Requires="x15">
      <x15ac:absPath xmlns:x15ac="http://schemas.microsoft.com/office/spreadsheetml/2010/11/ac" url="C:\特別約定事項專案\"/>
    </mc:Choice>
  </mc:AlternateContent>
  <xr:revisionPtr revIDLastSave="0" documentId="13_ncr:1_{CC11913D-8A7E-46E6-9877-FCE1F6FAC9EF}" xr6:coauthVersionLast="47" xr6:coauthVersionMax="47" xr10:uidLastSave="{00000000-0000-0000-0000-000000000000}"/>
  <bookViews>
    <workbookView xWindow="-28920" yWindow="-120" windowWidth="29040" windowHeight="15720" activeTab="9"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<sst xmlns="http://schemas.openxmlformats.org/spreadsheetml/2006/main" count="3157" uniqueCount="1679">
  <si>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</si>
  <si>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</si>
  <si>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</si>
  <si>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</si>
  <si>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</si>
  <si>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</si>
  <si>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</si>
  <si>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</si>
  <si>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</si>
  <si>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</si>
  <si>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</si>
  <si>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</si>
  <si>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</si>
  <si>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</si>
  <si>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</si>
  <si>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</si>
  <si>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</si>
  <si>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</si>
  <si>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</si>
  <si>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</si>
  <si>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</si>
  <si>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</si>
  <si>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</si>
  <si>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</si>
  <si>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</si>
  <si>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</si>
  <si>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</si>
  <si>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</si>
  <si>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</si>
  <si>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</si>
  <si>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</si>
  <si>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</si>
  <si>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</si>
  <si>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</si>
  <si>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</si>
  <si>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</si>
  <si>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</si>
  <si>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</si>
  <si>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</si>
  <si>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</si>
  <si>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</si>
  <si>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</si>
  <si>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</si>
  <si>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</si>
  <si>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</si>
  <si>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</si>
  <si>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</si>
  <si>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</si>
  <si>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</si>
  <si>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</si>
  <si>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</si>
  <si>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</si>
  <si>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</si>
  <si>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</si>
  <si>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</si>
  <si>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</si>
  <si>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</si>
  <si>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</si>
  <si>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</si>
  <si>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</si>
  <si>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</si>
  <si>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</si>
  <si>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</si>
  <si>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</si>
  <si>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</si>
  <si>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</si>
  <si>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</si>
  <si>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</si>
  <si>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</si>
  <si>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</si>
  <si>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</si>
  <si>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</si>
  <si>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</si>
  <si>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</si>
  <si>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</si>
  <si>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</si>
  <si>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</si>
  <si>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</si>
  <si>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</si>
  <si>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</si>
  <si>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</si>
  <si>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</si>
  <si>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</si>
  <si>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</si>
  <si>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</si>
  <si>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</si>
  <si>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</si>
  <si>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</si>
  <si>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</si>
  <si>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</si>
  <si>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</si>
  <si>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</si>
  <si>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</si>
  <si>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</si>
  <si>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</si>
  <si>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</si>
  <si>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</si>
  <si>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</si>
  <si>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</si>
  <si>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</si>
  <si>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</si>
  <si>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</si>
  <si>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</si>
  <si>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</si>
  <si>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</si>
  <si>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</si>
  <si>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</si>
  <si>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</si>
  <si>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</si>
  <si>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</si>
  <si>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</si>
  <si>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</si>
  <si>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</si>
  <si>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</si>
  <si>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</si>
  <si>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</si>
  <si>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</si>
  <si>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</si>
  <si>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</si>
  <si>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</si>
  <si>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</si>
  <si>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</si>
  <si>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</si>
  <si>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</si>
  <si>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</si>
  <si>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</si>
  <si>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</si>
  <si>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</si>
  <si>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</si>
  <si>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</si>
  <si>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</si>
  <si>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</si>
  <si>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</si>
  <si>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</si>
  <si>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</si>
  <si>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</si>
  <si>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</si>
  <si>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</si>
  <si>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</si>
  <si>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</si>
  <si>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</si>
  <si>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</si>
  <si>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</si>
  <si>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</si>
  <si>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</si>
  <si>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</si>
  <si>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</si>
  <si>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</si>
  <si>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</si>
  <si>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</si>
  <si>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</si>
  <si>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</si>
  <si>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</si>
  <si>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</si>
  <si>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</si>
  <si>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</si>
  <si>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</si>
  <si>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</si>
  <si>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</si>
  <si>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</si>
  <si>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</si>
  <si>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</si>
  <si>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</si>
  <si>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</si>
  <si>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</si>
  <si>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</si>
  <si>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</si>
  <si>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</si>
  <si>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</si>
  <si>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</si>
  <si>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</si>
  <si>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</si>
  <si>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</si>
  <si>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</si>
  <si>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</si>
  <si>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</si>
  <si>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</si>
  <si>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</si>
  <si>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</si>
  <si>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</si>
  <si>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</si>
  <si>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</si>
  <si>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</si>
  <si>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</si>
  <si>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</si>
  <si>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</si>
  <si>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</si>
  <si>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</si>
  <si>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</si>
  <si>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</si>
  <si>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</si>
  <si>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</si>
  <si>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</si>
  <si>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</si>
  <si>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</si>
  <si>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</si>
  <si>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</si>
  <si>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</si>
  <si>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</si>
  <si>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</si>
  <si>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</si>
  <si>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</si>
  <si>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</si>
  <si>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</si>
  <si>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</si>
  <si>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</si>
  <si>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</si>
  <si>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</si>
  <si>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</si>
  <si>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</si>
  <si>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</si>
  <si>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</si>
  <si>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</si>
  <si>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</si>
  <si>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</si>
  <si>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</si>
  <si>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</si>
  <si>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</si>
  <si>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</si>
  <si>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</si>
  <si>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</si>
  <si>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</si>
  <si>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</si>
  <si>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</si>
  <si>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</si>
  <si>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</si>
  <si>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</si>
  <si>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</si>
  <si>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</si>
  <si>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</si>
  <si>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</si>
  <si>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</si>
  <si>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</si>
  <si>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</si>
  <si>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</si>
  <si>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</si>
  <si>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</si>
  <si>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</si>
  <si>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</si>
  <si>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</si>
  <si>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</si>
  <si>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</si>
  <si>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</si>
  <si>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</si>
  <si>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</si>
  <si>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</si>
  <si>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</si>
  <si>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</si>
  <si>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</si>
  <si>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</si>
  <si>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</si>
  <si>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</si>
  <si>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</si>
  <si>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</si>
  <si>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</si>
  <si>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</si>
  <si>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</si>
  <si>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</si>
  <si>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</si>
  <si>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</si>
  <si>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</si>
  <si>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</si>
  <si>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</si>
  <si>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</si>
  <si>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</si>
  <si>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</si>
  <si>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</si>
  <si>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</si>
  <si>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</si>
  <si>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</si>
  <si>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</si>
  <si>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</si>
  <si>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</si>
  <si>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</si>
  <si>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</si>
  <si>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</si>
  <si>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</si>
  <si>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</si>
  <si>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</si>
  <si>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</si>
  <si>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</si>
  <si>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</si>
  <si>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</si>
  <si>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</si>
  <si>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</si>
  <si>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</si>
  <si>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</si>
  <si>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</si>
  <si>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</si>
  <si>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</si>
  <si>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</si>
  <si>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</si>
  <si>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</si>
  <si>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</si>
  <si>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</si>
  <si>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</si>
  <si>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</si>
  <si>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</si>
  <si>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</si>
  <si>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</si>
  <si>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</si>
  <si>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</si>
  <si>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</si>
  <si>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</si>
  <si>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</si>
  <si>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</si>
  <si>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</si>
  <si>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</si>
  <si>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</si>
  <si>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</si>
  <si>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</si>
  <si>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</si>
  <si>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</si>
  <si>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</si>
  <si>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</si>
  <si>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</si>
  <si>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</si>
  <si>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</si>
  <si>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</si>
  <si>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</si>
  <si>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</si>
  <si>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</si>
  <si>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</si>
  <si>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</si>
  <si>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</si>
  <si>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</si>
  <si>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</si>
  <si>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</si>
  <si>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</si>
  <si>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</si>
  <si>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</si>
  <si>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</si>
  <si>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</si>
  <si>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</si>
  <si>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</si>
  <si>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</si>
  <si>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</si>
  <si>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</si>
  <si>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</si>
  <si>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</si>
  <si>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</si>
  <si>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</si>
  <si>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</si>
  <si>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</si>
  <si>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</si>
  <si>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</si>
  <si>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</si>
  <si>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</si>
  <si>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</si>
  <si>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</si>
  <si>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</si>
  <si>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</si>
  <si>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</si>
  <si>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</si>
  <si>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</si>
  <si>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</si>
  <si>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</si>
  <si>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</si>
  <si>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</si>
  <si>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</si>
  <si>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</si>
  <si>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</si>
  <si>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</si>
  <si>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</si>
  <si>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</si>
  <si>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</si>
  <si>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</si>
  <si>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</si>
  <si>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</si>
  <si>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</si>
  <si>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</si>
  <si>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</si>
  <si>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</si>
  <si>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</si>
  <si>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</si>
  <si>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</si>
  <si>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</si>
  <si>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</si>
  <si>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</si>
  <si>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</si>
  <si>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</si>
  <si>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</si>
  <si>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</si>
  <si>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</si>
  <si>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</si>
  <si>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</si>
  <si>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</si>
  <si>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</si>
  <si>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</si>
  <si>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</si>
  <si>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</si>
  <si>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</si>
  <si>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</si>
  <si>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</si>
  <si>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</si>
  <si>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</si>
  <si>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</si>
  <si>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</si>
  <si>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</si>
  <si>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</si>
  <si>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</si>
  <si>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</si>
  <si>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</si>
  <si>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</si>
  <si>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</si>
  <si>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</si>
  <si>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</si>
  <si>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</si>
  <si>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</si>
  <si>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</si>
  <si>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</si>
  <si>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</si>
  <si>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</si>
  <si>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</si>
  <si>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</si>
  <si>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</si>
  <si>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</si>
  <si>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</si>
  <si>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</si>
  <si>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</si>
  <si>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</si>
  <si>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</si>
  <si>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</si>
  <si>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</si>
  <si>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</si>
  <si>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</si>
  <si>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</si>
  <si>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</si>
  <si>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</si>
  <si>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</si>
  <si>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</si>
  <si>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</si>
  <si>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</si>
  <si>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</si>
  <si>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</si>
  <si>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</si>
  <si>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</si>
  <si>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</si>
  <si>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</si>
  <si>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</si>
  <si>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</si>
  <si>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</si>
  <si>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</si>
  <si>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</si>
  <si>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</si>
  <si>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</si>
  <si>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</si>
  <si>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</si>
  <si>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</si>
  <si>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</si>
  <si>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</si>
  <si>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</si>
  <si>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</si>
  <si>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</si>
  <si>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</si>
  <si>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</si>
  <si>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</si>
  <si>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</si>
  <si>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</si>
  <si>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</si>
  <si>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</si>
  <si>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</si>
  <si>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</si>
  <si>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</si>
  <si>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</si>
  <si>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</si>
  <si>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</si>
  <si>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</si>
  <si>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</si>
  <si>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</si>
  <si>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</si>
  <si>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</si>
  <si>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</si>
  <si>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</si>
  <si>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</si>
  <si>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</si>
  <si>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</si>
  <si>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</si>
  <si>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</si>
  <si>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</si>
  <si>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</si>
  <si>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</si>
  <si>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</si>
  <si>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</si>
  <si>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</si>
  <si>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</si>
  <si>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</si>
  <si>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</si>
  <si>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</si>
  <si>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</si>
  <si>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</si>
  <si>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</si>
  <si>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</si>
  <si>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</si>
  <si>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</si>
  <si>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</si>
  <si>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</si>
  <si>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</si>
  <si>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</si>
  <si>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</si>
  <si>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</si>
  <si>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</si>
  <si>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</si>
  <si>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</si>
  <si>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</si>
  <si>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</si>
  <si>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</si>
  <si>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</si>
  <si>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</si>
  <si>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</si>
  <si>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</si>
  <si>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</si>
  <si>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</si>
  <si>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</si>
  <si>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</si>
  <si>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</si>
  <si>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</si>
  <si>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</si>
  <si>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</si>
  <si>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</si>
  <si>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</si>
  <si>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</si>
  <si>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</si>
  <si>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</si>
  <si>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</si>
  <si>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</si>
  <si>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</si>
  <si>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</si>
  <si>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</si>
  <si>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</si>
  <si>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</si>
  <si>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</si>
  <si>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</si>
  <si>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</si>
  <si>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</si>
  <si>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</si>
  <si>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</si>
  <si>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</si>
  <si>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</si>
  <si>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</si>
  <si>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</si>
  <si>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</si>
  <si>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</si>
  <si>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</si>
  <si>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</si>
  <si>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</si>
  <si>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</si>
  <si>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</si>
  <si>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</si>
  <si>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</si>
  <si>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</si>
  <si>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</si>
  <si>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</si>
  <si>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</si>
  <si>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</si>
  <si>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</si>
  <si>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</si>
  <si>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</si>
  <si>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</si>
  <si>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</si>
  <si>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</si>
  <si>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</si>
  <si>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</si>
  <si>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</si>
  <si>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</si>
  <si>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</si>
  <si>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</si>
  <si>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</si>
  <si>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</si>
  <si>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</si>
  <si>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</si>
  <si>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</si>
  <si>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</si>
  <si>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</si>
  <si>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</si>
  <si>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</si>
  <si>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</si>
  <si>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</si>
  <si>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</si>
  <si>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</si>
  <si>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</si>
  <si>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</si>
  <si>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</si>
  <si>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</si>
  <si>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</si>
  <si>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</si>
  <si>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</si>
  <si>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</si>
  <si>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</si>
  <si>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</si>
  <si>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</si>
  <si>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</si>
  <si>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</si>
  <si>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</si>
  <si>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</si>
  <si>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</si>
  <si>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</si>
  <si>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</si>
  <si>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</si>
  <si>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</si>
  <si>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</si>
  <si>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</si>
  <si>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</si>
  <si>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</si>
  <si>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</si>
  <si>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</si>
  <si>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</si>
  <si>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</si>
  <si>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</si>
  <si>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</si>
  <si>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</si>
  <si>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</si>
  <si>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</si>
  <si>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</si>
  <si>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</si>
  <si>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</si>
  <si>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</si>
  <si>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</si>
  <si>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</si>
  <si>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</si>
  <si>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</si>
  <si>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</si>
  <si>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</si>
  <si>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</si>
  <si>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</si>
  <si>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</si>
  <si>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</si>
  <si>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</si>
  <si>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</si>
  <si>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</si>
  <si>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</si>
  <si>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</si>
  <si>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</si>
  <si>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</si>
  <si>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</si>
  <si>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</si>
  <si>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</si>
  <si>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</si>
  <si>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</si>
  <si>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</si>
  <si>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</si>
  <si>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</si>
  <si>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</si>
  <si>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</si>
  <si>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</si>
  <si>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</si>
  <si>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</si>
  <si>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</si>
  <si>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</si>
  <si>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</si>
  <si>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</si>
  <si>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</si>
  <si>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</si>
  <si>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</si>
  <si>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</si>
  <si>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</si>
  <si>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</si>
  <si>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</si>
  <si>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</si>
  <si>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</si>
  <si>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</si>
  <si>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</si>
  <si>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</si>
  <si>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</si>
  <si>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</si>
  <si>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</si>
  <si>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</si>
  <si>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</si>
  <si>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</si>
  <si>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</si>
  <si>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</si>
  <si>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</si>
  <si>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</si>
  <si>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</si>
  <si>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</si>
  <si>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</si>
  <si>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</si>
  <si>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</si>
  <si>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</si>
  <si>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</si>
  <si>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</si>
  <si>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</si>
  <si>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</si>
  <si>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</si>
  <si>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</si>
  <si>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</si>
  <si>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</si>
  <si>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</si>
  <si>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</si>
  <si>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</si>
  <si>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</si>
  <si>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</si>
  <si>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</si>
  <si>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</si>
  <si>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</si>
  <si>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</si>
  <si>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</si>
  <si>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</si>
  <si>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</si>
  <si>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</si>
  <si>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</si>
  <si>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</si>
  <si>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</si>
  <si>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</si>
  <si>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</si>
  <si>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</si>
  <si>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</si>
  <si>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</si>
  <si>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</si>
  <si>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</si>
  <si>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</si>
  <si>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</si>
  <si>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</si>
  <si>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</si>
  <si>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</si>
  <si>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</si>
  <si>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</si>
  <si>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</si>
  <si>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</si>
  <si>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</si>
  <si>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</si>
  <si>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</si>
  <si>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</si>
  <si>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</si>
  <si>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</si>
  <si>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</si>
  <si>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</si>
  <si>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</si>
  <si>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</si>
  <si>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</si>
  <si>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</si>
  <si>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</si>
  <si>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</si>
  <si>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</si>
  <si>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</si>
  <si>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</si>
  <si>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</si>
  <si>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</si>
  <si>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</si>
  <si>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</si>
  <si>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</si>
  <si>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</si>
  <si>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</si>
  <si>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</si>
  <si>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</si>
  <si>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</si>
  <si>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</si>
  <si>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</si>
  <si>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</si>
  <si>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</si>
  <si>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</si>
  <si>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</si>
  <si>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</si>
  <si>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</si>
  <si>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</si>
  <si>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</si>
  <si>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</si>
  <si>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</si>
  <si>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</si>
  <si>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</si>
  <si>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</si>
  <si>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</si>
  <si>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</si>
  <si>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</si>
  <si>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</si>
  <si>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</si>
  <si>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</si>
  <si>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</si>
  <si>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</si>
  <si>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</si>
  <si>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</si>
  <si>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</si>
  <si>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</si>
  <si>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</si>
  <si>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</si>
  <si>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</si>
  <si>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</si>
  <si>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</si>
  <si>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</si>
  <si>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</si>
  <si>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</si>
  <si>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</si>
  <si>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</si>
  <si>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</si>
  <si>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</si>
  <si>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</si>
  <si>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</si>
  <si>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</si>
  <si>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</si>
  <si>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</si>
  <si>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</si>
  <si>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</si>
  <si>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</si>
  <si>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</si>
  <si>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</si>
  <si>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</si>
  <si>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</si>
  <si>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</si>
  <si>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</si>
  <si>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</si>
  <si>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</si>
  <si>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</si>
  <si>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</si>
  <si>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</si>
  <si>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</si>
  <si>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</si>
  <si>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</si>
  <si>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</si>
  <si>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</si>
  <si>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</si>
  <si>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</si>
  <si>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</si>
  <si>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</si>
  <si>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</si>
  <si>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</si>
  <si>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</si>
  <si>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</si>
  <si>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</si>
  <si>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</si>
  <si>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</si>
  <si>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</si>
  <si>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</si>
  <si>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</si>
  <si>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</si>
  <si>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</si>
  <si>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</si>
  <si>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</si>
  <si>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</si>
  <si>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</si>
  <si>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</si>
  <si>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</si>
  <si>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</si>
  <si>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</si>
  <si>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</si>
  <si>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</si>
  <si>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</si>
  <si>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</si>
  <si>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</si>
  <si>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</si>
  <si>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</si>
  <si>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</si>
  <si>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</si>
  <si>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</si>
  <si>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</si>
  <si>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</si>
  <si>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</si>
  <si>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</si>
  <si>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</si>
  <si>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</si>
  <si>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</si>
  <si>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</si>
  <si>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</si>
  <si>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</si>
  <si>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</si>
  <si>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</si>
  <si>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</si>
  <si>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</si>
  <si>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</si>
  <si>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</si>
  <si>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</si>
  <si>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</si>
  <si>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</si>
  <si>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</si>
  <si>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</si>
  <si>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</si>
  <si>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</si>
  <si>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</si>
  <si>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</si>
  <si>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</si>
  <si>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</si>
  <si>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</si>
  <si>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</si>
  <si>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</si>
  <si>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</si>
  <si>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</si>
  <si>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</si>
  <si>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</si>
  <si>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</si>
  <si>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</si>
  <si>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</si>
  <si>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</si>
  <si>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</si>
  <si>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</si>
  <si>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</si>
  <si>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</si>
  <si>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</si>
  <si>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</si>
  <si>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</si>
  <si>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</si>
  <si>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</si>
  <si>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</si>
  <si>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</si>
  <si>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</si>
  <si>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</si>
  <si>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</si>
  <si>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</si>
  <si>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</si>
  <si>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</si>
  <si>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</si>
  <si>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</si>
  <si>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</si>
  <si>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</si>
  <si>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</si>
  <si>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</si>
  <si>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</si>
  <si>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</si>
  <si>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</si>
  <si>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</si>
  <si>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</si>
  <si>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</si>
  <si>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</si>
  <si>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</si>
  <si>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</si>
  <si>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</si>
  <si>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</si>
  <si>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</si>
  <si>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</si>
  <si>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</si>
  <si>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</si>
  <si>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</si>
  <si>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</si>
  <si>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</si>
  <si>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</si>
  <si>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</si>
  <si>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</si>
  <si>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</si>
  <si>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</si>
  <si>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</si>
  <si>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</si>
  <si>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</si>
  <si>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</si>
  <si>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</si>
  <si>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</si>
  <si>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</si>
  <si>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</si>
  <si>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</si>
  <si>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</si>
  <si>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</si>
  <si>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</si>
  <si>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</si>
  <si>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</si>
  <si>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</si>
  <si>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</si>
  <si>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</si>
  <si>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</si>
  <si>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</si>
  <si>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</si>
  <si>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</si>
  <si>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</si>
  <si>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</si>
  <si>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</si>
  <si>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</si>
  <si>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</si>
  <si>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</si>
  <si>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</si>
  <si>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</si>
  <si>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</si>
  <si>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</si>
  <si>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</si>
  <si>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</si>
  <si>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</si>
  <si>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</si>
  <si>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</si>
  <si>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</si>
  <si>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</si>
  <si>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</si>
  <si>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</si>
  <si>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</si>
  <si>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</si>
  <si>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</si>
  <si>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</si>
  <si>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</si>
  <si>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</si>
  <si>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</si>
  <si>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</si>
  <si>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</si>
  <si>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</si>
  <si>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</si>
  <si>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</si>
  <si>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</si>
  <si>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</si>
  <si>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</si>
  <si>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</si>
  <si>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</si>
  <si>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</si>
  <si>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</si>
  <si>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</si>
  <si>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</si>
  <si>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</si>
  <si>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</si>
  <si>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</si>
  <si>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</si>
  <si>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</si>
  <si>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</si>
  <si>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</si>
  <si>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</si>
  <si>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</si>
  <si>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</si>
  <si>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</si>
  <si>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</si>
  <si>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</si>
  <si>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</si>
  <si>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</si>
  <si>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</si>
  <si>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</si>
  <si>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</si>
  <si>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</si>
  <si>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</si>
  <si>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</si>
  <si>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</si>
  <si>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</si>
  <si>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</si>
  <si>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</si>
  <si>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</si>
  <si>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</si>
  <si>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</si>
  <si>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</si>
  <si>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</si>
  <si>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</si>
  <si>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</si>
  <si>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</si>
  <si>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</si>
  <si>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</si>
  <si>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</si>
  <si>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</si>
  <si>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</si>
  <si>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</si>
  <si>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</si>
  <si>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</si>
  <si>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</si>
  <si>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</si>
  <si>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</si>
  <si>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</si>
  <si>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</si>
  <si>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</si>
  <si>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</si>
  <si>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</si>
  <si>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</si>
  <si>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</si>
  <si>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</si>
  <si>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</si>
  <si>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</si>
  <si>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</si>
  <si>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</si>
  <si>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</si>
  <si>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</si>
  <si>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</si>
  <si>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</si>
  <si>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</si>
  <si>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</si>
  <si>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</si>
  <si>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</si>
  <si>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</si>
  <si>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</si>
  <si>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</si>
  <si>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</si>
  <si>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</si>
  <si>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</si>
  <si>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</si>
  <si>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</si>
  <si>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</si>
  <si>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</si>
  <si>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</si>
  <si>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</si>
  <si>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</si>
  <si>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</si>
  <si>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</si>
  <si>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</si>
  <si>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</si>
  <si>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</si>
  <si>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</si>
  <si>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</si>
  <si>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</si>
  <si>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</si>
  <si>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</si>
  <si>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</si>
  <si>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</si>
  <si>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</si>
  <si>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</si>
  <si>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</si>
  <si>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</si>
  <si>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</si>
  <si>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</si>
  <si>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</si>
  <si>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</si>
  <si>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</si>
  <si>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</si>
  <si>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</si>
  <si>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</si>
  <si>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</si>
  <si>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</si>
  <si>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</si>
  <si>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</si>
  <si>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</si>
  <si>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</si>
  <si>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</si>
  <si>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</si>
  <si>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</si>
  <si>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</si>
  <si>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</si>
  <si>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</si>
  <si>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</si>
  <si>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</si>
  <si>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</si>
  <si>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</si>
  <si>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</si>
  <si>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</si>
  <si>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</si>
  <si>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</si>
  <si>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</si>
  <si>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</si>
  <si>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</si>
  <si>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</si>
  <si>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</si>
  <si>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</si>
  <si>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</si>
  <si>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</si>
  <si>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</si>
  <si>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</si>
  <si>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</si>
  <si>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</si>
  <si>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</si>
  <si>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</si>
  <si>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</si>
  <si>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</si>
  <si>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</si>
  <si>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</si>
  <si>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</si>
  <si>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</si>
  <si>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</si>
  <si>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</si>
  <si>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</si>
  <si>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</si>
  <si>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</si>
  <si>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</si>
  <si>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</si>
  <si>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</si>
  <si>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</si>
  <si>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</si>
  <si>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</si>
  <si>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</si>
  <si>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</si>
  <si>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</si>
  <si>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</si>
  <si>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</si>
  <si>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</si>
  <si>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</si>
  <si>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</si>
  <si>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</si>
  <si>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</si>
  <si>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</si>
  <si>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</si>
  <si>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</si>
  <si>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</si>
  <si>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</si>
  <si>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</si>
  <si>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</si>
  <si>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</si>
  <si>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</si>
  <si>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</si>
  <si>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</si>
  <si>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</si>
  <si>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</si>
  <si>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</si>
  <si>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</si>
  <si>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</si>
  <si>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</si>
  <si>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</si>
  <si>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</si>
  <si>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</si>
  <si>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</si>
  <si>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</si>
  <si>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</si>
  <si>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</si>
  <si>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</si>
  <si>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</si>
  <si>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</si>
  <si>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</si>
  <si>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</si>
  <si>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</si>
  <si>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</si>
  <si>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</si>
  <si>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</si>
  <si>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</si>
  <si>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</si>
  <si>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</si>
  <si>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</si>
  <si>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</si>
  <si>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</si>
  <si>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</si>
  <si>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</si>
  <si>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</si>
  <si>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</si>
  <si>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</si>
  <si>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</si>
  <si>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</si>
  <si>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</si>
  <si>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</si>
  <si>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</si>
  <si>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</si>
  <si>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</si>
  <si>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</si>
  <si>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</si>
  <si>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</si>
  <si>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</si>
  <si>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</si>
  <si>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</si>
  <si>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</si>
  <si>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</si>
  <si>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</si>
  <si>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</si>
  <si>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</si>
  <si>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</si>
  <si>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</si>
  <si>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</si>
  <si>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</si>
  <si>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</si>
  <si>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</si>
  <si>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</si>
  <si>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</si>
  <si>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</si>
  <si>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</si>
  <si>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</si>
  <si>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</si>
  <si>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</si>
  <si>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</si>
  <si>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</si>
  <si>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</si>
  <si>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</si>
  <si>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</si>
  <si>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</si>
  <si>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</si>
  <si>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</si>
  <si>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</si>
  <si>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</si>
  <si>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</si>
  <si>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</si>
  <si>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</si>
  <si>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</si>
  <si>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</si>
  <si>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</si>
  <si>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</si>
  <si>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</si>
  <si>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</si>
  <si>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</si>
  <si>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</si>
  <si>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</si>
  <si>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</si>
  <si>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</si>
  <si>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</si>
  <si>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</si>
  <si>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</si>
  <si>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</si>
  <si>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</si>
  <si>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</si>
  <si>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</si>
  <si>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</si>
  <si>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</si>
  <si>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</si>
  <si>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</si>
  <si>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</si>
  <si>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</si>
  <si>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</si>
  <si>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</si>
  <si>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</si>
  <si>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</si>
  <si>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</si>
  <si>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</si>
  <si>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</si>
  <si>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</si>
  <si>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</si>
  <si>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</si>
  <si>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</si>
  <si>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</si>
  <si>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</si>
  <si>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</si>
  <si>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</si>
  <si>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</si>
  <si>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</si>
  <si>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</si>
  <si>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</si>
  <si>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</si>
  <si>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</si>
  <si>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</si>
  <si>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</si>
  <si>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</si>
  <si>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</si>
  <si>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</si>
  <si>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</si>
  <si>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</si>
  <si>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</si>
  <si>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</si>
  <si>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</si>
  <si>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</si>
  <si>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</si>
  <si>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</si>
  <si>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</si>
  <si>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</si>
  <si>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</si>
  <si>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</si>
  <si>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</si>
  <si>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</si>
  <si>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</si>
  <si>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</si>
  <si>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</si>
  <si>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</si>
  <si>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</si>
  <si>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</si>
  <si>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</si>
  <si>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</si>
  <si>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</si>
  <si>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</si>
  <si>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</si>
  <si>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</si>
  <si>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</si>
  <si>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</si>
  <si>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</si>
  <si>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</si>
  <si>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</si>
  <si>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</si>
  <si>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</si>
  <si>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</si>
  <si>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</si>
  <si>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</si>
  <si>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</si>
  <si>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</si>
  <si>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</si>
  <si>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</si>
  <si>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</si>
  <si>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</si>
  <si>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</si>
  <si>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</si>
  <si>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</si>
  <si>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</si>
  <si>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</si>
  <si>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</si>
  <si>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</si>
  <si>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</si>
  <si>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</si>
  <si>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</si>
  <si>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</si>
  <si>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</si>
  <si>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</si>
  <si>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</si>
  <si>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</si>
  <si>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</si>
  <si>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</si>
  <si>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</si>
  <si>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</si>
  <si>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</si>
  <si>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</si>
  <si>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</si>
  <si>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</si>
  <si>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</si>
  <si>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</si>
  <si>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</si>
  <si>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</si>
  <si>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</si>
  <si>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</si>
  <si>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</si>
  <si>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</si>
  <si>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</si>
  <si>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</si>
  <si>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</si>
  <si>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</si>
  <si>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</si>
  <si>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</si>
  <si>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</si>
  <si>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</si>
  <si>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</si>
  <si>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</si>
  <si>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</si>
  <si>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</si>
  <si>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</si>
  <si>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</si>
  <si>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</si>
  <si>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</si>
  <si>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</si>
  <si>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</si>
  <si>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</si>
  <si>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</si>
  <si>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</si>
  <si>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</si>
  <si>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</si>
  <si>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</si>
  <si>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</si>
  <si>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</si>
  <si>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</si>
  <si>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</si>
  <si>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</si>
  <si>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</si>
  <si>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</si>
  <si>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</si>
  <si>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</si>
  <si>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</si>
  <si>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</si>
  <si>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</si>
  <si>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</si>
  <si>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</si>
  <si>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</si>
  <si>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</si>
  <si>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</si>
  <si>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</si>
  <si>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</si>
  <si>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</si>
  <si>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</si>
  <si>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</si>
  <si>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</si>
  <si>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</si>
  <si>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</si>
  <si>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</si>
  <si>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</si>
  <si>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</si>
  <si>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</si>
  <si>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</si>
  <si>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</si>
  <si>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</si>
  <si>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</si>
  <si>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</si>
  <si>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</si>
  <si>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</si>
  <si>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</si>
  <si>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</si>
  <si>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</si>
  <si>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</si>
  <si>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</si>
  <si>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</si>
  <si>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</si>
  <si>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</si>
  <si>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</si>
  <si>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</si>
  <si>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</si>
  <si>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</si>
  <si>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</si>
  <si>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</si>
  <si>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</si>
  <si>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</si>
  <si>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</si>
  <si>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</si>
  <si>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</si>
  <si>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</si>
  <si>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</si>
  <si>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</si>
  <si>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</si>
  <si>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</si>
  <si>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</si>
  <si>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</si>
  <si>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</si>
  <si>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</si>
  <si>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</si>
  <si>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</si>
  <si>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</si>
  <si>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</si>
  <si>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</si>
  <si>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</si>
  <si>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</si>
  <si>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</si>
  <si>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</si>
  <si>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</si>
  <si>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</si>
  <si>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</si>
  <si>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</si>
  <si>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</si>
  <si>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</si>
  <si>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</si>
  <si>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</si>
  <si>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</si>
  <si>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</si>
  <si>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</si>
  <si>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</si>
  <si>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</si>
  <si>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</si>
  <si>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</si>
  <si>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</si>
  <si>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</si>
  <si>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</si>
  <si>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</si>
  <si>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</si>
  <si>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</si>
  <si>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</si>
  <si>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</si>
  <si>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</si>
  <si>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</si>
  <si>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</si>
  <si>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</si>
  <si>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</si>
  <si>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</si>
  <si>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</si>
  <si>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</si>
  <si>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</si>
  <si>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</si>
  <si>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</si>
  <si>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</si>
  <si>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</si>
  <si>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</si>
  <si>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</si>
  <si>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</si>
  <si>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</si>
  <si>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</si>
  <si>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</si>
  <si>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</si>
  <si>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</si>
  <si>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</si>
  <si>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</si>
  <si>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</si>
  <si>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</si>
  <si>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</si>
  <si>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</si>
  <si>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</si>
  <si>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</si>
  <si>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</si>
  <si>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</si>
  <si>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</si>
  <si>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</si>
  <si>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</si>
  <si>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</si>
  <si>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</si>
  <si>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</si>
  <si>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</si>
  <si>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</si>
  <si>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</si>
  <si>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</si>
  <si>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</si>
  <si>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</si>
  <si>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</si>
  <si>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</si>
  <si>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</si>
  <si>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</si>
  <si>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</si>
  <si>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</si>
  <si>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</si>
  <si>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</si>
  <si>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</si>
  <si>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</si>
  <si>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</si>
  <si>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</si>
  <si>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</si>
  <si>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</si>
  <si>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</si>
  <si>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</si>
  <si>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</si>
  <si>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</si>
  <si>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</si>
  <si>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</si>
  <si>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</si>
  <si>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</si>
  <si>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</si>
  <si>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</si>
  <si>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</si>
  <si>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</si>
  <si>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</si>
  <si>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</si>
  <si>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</si>
  <si>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</si>
  <si>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</si>
  <si>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</si>
  <si>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</si>
  <si>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</si>
  <si>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</si>
  <si>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</si>
  <si>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</si>
  <si>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</si>
  <si>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</si>
  <si>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</si>
  <si>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</si>
  <si>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</si>
  <si>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</si>
  <si>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</si>
  <si>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</si>
  <si>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</si>
  <si>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</si>
  <si>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</si>
  <si>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</si>
  <si>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</si>
  <si>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</si>
  <si>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</si>
  <si>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</si>
  <si>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</si>
  <si>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</si>
  <si>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</si>
  <si>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</si>
  <si>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</si>
  <si>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</si>
  <si>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</si>
  <si>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</si>
  <si>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</si>
  <si>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</si>
  <si>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</si>
  <si>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</si>
  <si>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</si>
  <si>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</si>
  <si>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</si>
  <si>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</si>
  <si>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</si>
  <si>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</si>
  <si>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</si>
  <si>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</si>
  <si>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</si>
  <si>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</si>
  <si>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</si>
  <si>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</si>
  <si>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</si>
  <si>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</si>
  <si>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</si>
  <si>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</si>
  <si>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</si>
  <si>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</si>
  <si>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</si>
  <si>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</si>
  <si>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</si>
  <si>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</si>
  <si>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</si>
  <si>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</si>
  <si>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</si>
  <si>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</si>
  <si>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</si>
  <si>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</si>
  <si>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</si>
  <si>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</si>
  <si>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</si>
  <si>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</si>
  <si>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</si>
  <si>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</si>
  <si>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</si>
  <si>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</si>
  <si>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</si>
  <si>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</si>
  <si>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</si>
  <si>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</si>
  <si>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</si>
  <si>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</si>
  <si>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</si>
  <si>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</si>
  <si>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</si>
  <si>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</si>
  <si>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</si>
  <si>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</si>
  <si>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</si>
  <si>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</si>
  <si>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</si>
  <si>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</si>
  <si>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</si>
  <si>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</si>
  <si>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</si>
  <si>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</si>
  <si>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</si>
  <si>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</si>
  <si>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</si>
  <si>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</si>
  <si>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</si>
  <si>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</si>
  <si>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</si>
  <si>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</si>
  <si>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r>
      <t xml:space="preserve">TDCC = </t>
    </r>
    <r>
      <rPr>
        <sz val="11"/>
        <color rgb="FF000000"/>
        <rFont val="Calibri"/>
        <family val="2"/>
      </rPr>
      <t>037001023218</t>
    </r>
  </si>
  <si>
    <t>Please see the schedule as below. Thank you.</t>
  </si>
  <si>
    <t>Trade date: 2026/10/27</t>
  </si>
  <si>
    <t>Issue date (T+7): 2026/11/03</t>
  </si>
  <si>
    <t>Maturity date: 2033/11/03</t>
  </si>
  <si>
    <t>Capital size: USD 900K</t>
  </si>
  <si>
    <t>Risk level: RR2</t>
  </si>
  <si>
    <t>PG rate: 100%</t>
  </si>
  <si>
    <t>Tag</t>
  </si>
  <si>
    <t>Tenor (Y)</t>
  </si>
  <si>
    <t>Coupon</t>
  </si>
  <si>
    <t>Coupon frequency=Callable frequency</t>
  </si>
  <si>
    <t>Condition_1</t>
  </si>
  <si>
    <t>Call Feature</t>
  </si>
  <si>
    <t>UF</t>
  </si>
  <si>
    <t>E</t>
  </si>
  <si>
    <r>
      <t>Y1-Y7 : </t>
    </r>
    <r>
      <rPr>
        <b/>
        <sz val="12"/>
        <color rgb="FFFF0000"/>
        <rFont val="Calibri"/>
        <family val="2"/>
      </rPr>
      <t>7.2%</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</si>
  <si>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5.6%</t>
    </r>
  </si>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</sst>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4">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000000"/>
      <name val="Calibri"/>
      <family val="2"/>
    </font>
    <font>
      <sz val="12"/>
      <color rgb="FF000000"/>
      <name val="新細明體"/>
      <family val="1"/>
      <charset val="136"/>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1"/>
      <color theme="1"/>
      <name val="Calibri"/>
      <family val="2"/>
    </font>
    <font>
      <sz val="11"/>
      <color rgb="FF000000"/>
      <name val="Calibri"/>
      <family val="2"/>
    </font>
    <font>
      <sz val="12"/>
      <color rgb="FF1F497D"/>
      <name val="Calibri"/>
      <family val="2"/>
    </font>
    <font>
      <b/>
      <sz val="12"/>
      <color rgb="FFFF00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1">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55">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0" fillId="10" borderId="3" xfId="0" applyFont="1" applyFill="1" applyBorder="1" applyAlignment="1">
      <alignment horizontal="center" vertical="center"/>
    </xf>
    <xf numFmtId="0" fontId="0" fillId="10" borderId="1" xfId="0" applyFont="1"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applyFill="1">
      <alignment vertical="center"/>
    </xf>
    <xf numFmtId="0" fontId="3" fillId="0" borderId="0" xfId="0" applyFont="1"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0" fontId="19" fillId="0" borderId="0" xfId="2" applyFont="1" applyAlignment="1">
      <alignment horizontal="center" vertical="center"/>
    </xf>
    <xf numFmtId="0" fontId="19" fillId="7" borderId="4" xfId="2" applyFont="1" applyFill="1" applyBorder="1" applyAlignment="1">
      <alignment horizontal="center" vertical="center"/>
    </xf>
    <xf numFmtId="49" fontId="19" fillId="7" borderId="4" xfId="2" quotePrefix="1" applyNumberFormat="1" applyFont="1" applyFill="1" applyBorder="1" applyAlignment="1">
      <alignment horizontal="center" vertical="center"/>
    </xf>
    <xf numFmtId="0" fontId="19" fillId="0" borderId="0" xfId="2" applyFont="1" applyFill="1" applyAlignment="1">
      <alignment horizontal="center" vertical="center"/>
    </xf>
    <xf numFmtId="4" fontId="0" fillId="0" borderId="0" xfId="0" applyNumberFormat="1">
      <alignment vertical="center"/>
    </xf>
    <xf numFmtId="0" fontId="19" fillId="7" borderId="4" xfId="2" applyFont="1" applyFill="1" applyBorder="1" applyAlignment="1">
      <alignment horizontal="center"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Font="1" applyAlignment="1">
      <alignment vertical="center" wrapText="1"/>
    </xf>
    <xf numFmtId="0" fontId="5" fillId="0" borderId="0" xfId="0" applyFont="1" applyAlignment="1">
      <alignment vertical="center"/>
    </xf>
    <xf numFmtId="49" fontId="0" fillId="10" borderId="1" xfId="0" quotePrefix="1" applyNumberFormat="1" applyFon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7" fillId="19" borderId="14" xfId="0" applyFont="1" applyFill="1" applyBorder="1" applyAlignment="1">
      <alignment vertical="center" wrapText="1"/>
    </xf>
    <xf numFmtId="0" fontId="0" fillId="20" borderId="0" xfId="0" applyFont="1" applyFill="1" applyBorder="1" applyAlignment="1">
      <alignment horizontal="center" vertical="center"/>
    </xf>
    <xf numFmtId="49" fontId="0" fillId="21" borderId="0" xfId="0" quotePrefix="1" applyNumberFormat="1" applyFont="1" applyFill="1" applyBorder="1" applyAlignment="1">
      <alignment horizontal="center" vertical="center"/>
    </xf>
    <xf numFmtId="0" fontId="0" fillId="21" borderId="0" xfId="0" applyFont="1" applyFill="1" applyBorder="1" applyAlignment="1">
      <alignment horizontal="center" vertical="center"/>
    </xf>
    <xf numFmtId="0" fontId="0" fillId="21" borderId="2" xfId="0" applyFont="1" applyFill="1" applyBorder="1" applyAlignment="1">
      <alignment horizontal="center" vertical="center"/>
    </xf>
    <xf numFmtId="0" fontId="5" fillId="21" borderId="0" xfId="0" applyFont="1" applyFill="1" applyBorder="1" applyAlignment="1">
      <alignment horizontal="center" vertical="center"/>
    </xf>
    <xf numFmtId="49" fontId="0" fillId="21" borderId="1" xfId="0" quotePrefix="1" applyNumberFormat="1" applyFont="1" applyFill="1" applyBorder="1" applyAlignment="1">
      <alignment horizontal="center" vertical="center"/>
    </xf>
    <xf numFmtId="0" fontId="0" fillId="21" borderId="1" xfId="0" applyFont="1"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ont="1" applyFill="1" applyBorder="1" applyAlignment="1">
      <alignment horizontal="center" vertical="center"/>
    </xf>
    <xf numFmtId="0" fontId="59" fillId="0" borderId="0" xfId="0" applyFont="1">
      <alignment vertical="center"/>
    </xf>
    <xf numFmtId="0" fontId="60" fillId="0" borderId="0" xfId="0" applyFont="1">
      <alignment vertical="center"/>
    </xf>
    <xf numFmtId="0" fontId="56" fillId="0" borderId="0" xfId="0" applyFont="1">
      <alignment vertical="center"/>
    </xf>
    <xf numFmtId="0" fontId="61" fillId="0" borderId="0" xfId="0" applyFont="1">
      <alignment vertical="center"/>
    </xf>
    <xf numFmtId="0" fontId="55"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5" fillId="0" borderId="15" xfId="0" applyFont="1" applyBorder="1" applyAlignment="1">
      <alignment horizontal="center" vertical="center" wrapText="1"/>
    </xf>
    <xf numFmtId="0" fontId="55"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3" fillId="0" borderId="17" xfId="0" applyFont="1" applyBorder="1" applyAlignment="1">
      <alignment horizontal="center" vertical="center" wrapText="1"/>
    </xf>
    <xf numFmtId="10" fontId="55" fillId="0" borderId="18" xfId="0" applyNumberFormat="1" applyFont="1" applyBorder="1" applyAlignment="1">
      <alignment horizontal="center" vertical="center" wrapText="1"/>
    </xf>
    <xf numFmtId="0" fontId="0" fillId="23" borderId="0" xfId="0" applyFill="1">
      <alignment vertical="center"/>
    </xf>
    <xf numFmtId="0" fontId="5" fillId="23" borderId="13" xfId="1" applyNumberFormat="1" applyFont="1" applyFill="1" applyBorder="1" applyAlignment="1">
      <alignment vertical="center"/>
    </xf>
    <xf numFmtId="0" fontId="5" fillId="24" borderId="13" xfId="1" applyNumberFormat="1" applyFont="1" applyFill="1" applyBorder="1" applyAlignment="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55" fillId="0" borderId="19" xfId="0" applyFont="1" applyBorder="1" applyAlignment="1">
      <alignment horizontal="center" vertical="center" wrapText="1"/>
    </xf>
    <xf numFmtId="0" fontId="55" fillId="0" borderId="20" xfId="0" applyFont="1" applyBorder="1" applyAlignment="1">
      <alignment horizontal="center" vertical="center" wrapText="1"/>
    </xf>
    <xf numFmtId="0" fontId="55" fillId="0" borderId="5" xfId="0" applyFont="1" applyBorder="1" applyAlignment="1">
      <alignment horizontal="center" vertical="center" wrapText="1"/>
    </xf>
    <xf numFmtId="0" fontId="55" fillId="0" borderId="15" xfId="0" applyFont="1" applyBorder="1" applyAlignment="1">
      <alignment horizontal="center" vertical="center" wrapText="1"/>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2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200-00000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V2" sqref="V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5" t="s">
        <v>1533</v>
      </c>
      <c r="U1" s="13" t="s">
        <v>37</v>
      </c>
      <c r="V1" s="81" t="s">
        <v>1532</v>
      </c>
    </row>
    <row r="2" spans="1:22" ht="39" customHeight="1">
      <c r="A2" s="14"/>
      <c r="B2" s="109"/>
      <c r="C2" s="15"/>
      <c r="D2" s="15"/>
      <c r="E2" s="15"/>
      <c r="F2" s="15"/>
      <c r="G2" s="15"/>
      <c r="H2" s="15"/>
      <c r="I2" s="15"/>
      <c r="J2" s="15"/>
      <c r="K2" s="15"/>
      <c r="L2" s="15"/>
      <c r="M2" s="15"/>
      <c r="N2" s="15"/>
      <c r="O2" s="15"/>
      <c r="P2" s="15"/>
      <c r="Q2" s="15"/>
      <c r="R2" s="15"/>
      <c r="S2" s="15"/>
      <c r="T2" s="15"/>
      <c r="U2" s="15"/>
      <c r="V2" s="82"/>
    </row>
    <row r="3" spans="1:22">
      <c r="N3" s="80"/>
    </row>
    <row r="4" spans="1:22">
      <c r="A4" s="143" t="s">
        <v>1604</v>
      </c>
      <c r="B4" s="144"/>
      <c r="C4" s="144"/>
      <c r="D4" s="144"/>
    </row>
    <row r="5" spans="1:22">
      <c r="A5" s="144"/>
      <c r="B5" s="144"/>
      <c r="C5" s="144"/>
      <c r="D5" s="144"/>
      <c r="M5" s="139" t="s">
        <v>1484</v>
      </c>
      <c r="N5" s="140"/>
      <c r="O5" s="87">
        <v>46324</v>
      </c>
    </row>
    <row r="6" spans="1:22">
      <c r="A6" s="107"/>
      <c r="B6" s="108"/>
      <c r="C6" s="108"/>
      <c r="D6" s="108"/>
      <c r="M6" s="139" t="s">
        <v>1477</v>
      </c>
      <c r="N6" s="140"/>
      <c r="O6" s="87">
        <v>46331</v>
      </c>
      <c r="P6" s="89" t="s">
        <v>1478</v>
      </c>
      <c r="Q6" s="90">
        <v>7</v>
      </c>
      <c r="R6" s="91" t="s">
        <v>1479</v>
      </c>
    </row>
    <row r="7" spans="1:22">
      <c r="A7" s="145" t="s">
        <v>1605</v>
      </c>
      <c r="B7" s="146"/>
      <c r="C7" s="146"/>
      <c r="D7" s="146"/>
      <c r="E7" s="146"/>
      <c r="F7" s="146"/>
      <c r="M7" s="139" t="s">
        <v>1480</v>
      </c>
      <c r="N7" s="140"/>
      <c r="O7" s="87">
        <v>46331</v>
      </c>
    </row>
    <row r="8" spans="1:22">
      <c r="A8" s="146"/>
      <c r="B8" s="146"/>
      <c r="C8" s="146"/>
      <c r="D8" s="146"/>
      <c r="E8" s="146"/>
      <c r="F8" s="146"/>
      <c r="M8" s="139" t="s">
        <v>1481</v>
      </c>
      <c r="N8" s="140"/>
      <c r="O8" s="87">
        <v>46331</v>
      </c>
    </row>
    <row r="9" spans="1:22">
      <c r="M9" s="141" t="s">
        <v>1483</v>
      </c>
      <c r="N9" s="142"/>
      <c r="O9" s="84"/>
    </row>
    <row r="10" spans="1:22">
      <c r="A10" s="138" t="s">
        <v>302</v>
      </c>
      <c r="B10" s="138"/>
      <c r="C10" s="138"/>
      <c r="D10" s="138"/>
      <c r="E10" s="138"/>
      <c r="F10" s="138"/>
      <c r="M10" s="139" t="s">
        <v>1482</v>
      </c>
      <c r="N10" s="140"/>
      <c r="O10" s="84"/>
    </row>
    <row r="11" spans="1:22">
      <c r="A11" s="138"/>
      <c r="B11" s="138"/>
      <c r="C11" s="138"/>
      <c r="D11" s="138"/>
      <c r="E11" s="138"/>
      <c r="F11" s="138"/>
    </row>
    <row r="12" spans="1:22">
      <c r="A12" s="138"/>
      <c r="B12" s="138"/>
      <c r="C12" s="138"/>
      <c r="D12" s="138"/>
      <c r="E12" s="138"/>
      <c r="F12" s="138"/>
    </row>
    <row r="14" spans="1:22">
      <c r="A14" s="138" t="s">
        <v>1534</v>
      </c>
      <c r="B14" s="138"/>
      <c r="C14" s="138"/>
      <c r="D14" s="138"/>
      <c r="E14" s="138"/>
      <c r="F14" s="138"/>
      <c r="G14" s="138"/>
      <c r="H14" s="138"/>
      <c r="M14" s="83"/>
    </row>
    <row r="15" spans="1:22">
      <c r="A15" s="138"/>
      <c r="B15" s="138"/>
      <c r="C15" s="138"/>
      <c r="D15" s="138"/>
      <c r="E15" s="138"/>
      <c r="F15" s="138"/>
      <c r="G15" s="138"/>
      <c r="H15" s="138"/>
    </row>
    <row r="16" spans="1:22">
      <c r="A16" s="138"/>
      <c r="B16" s="138"/>
      <c r="C16" s="138"/>
      <c r="D16" s="138"/>
      <c r="E16" s="138"/>
      <c r="F16" s="138"/>
      <c r="G16" s="138"/>
      <c r="H16" s="138"/>
    </row>
    <row r="17" spans="1:8" ht="15.75" customHeight="1">
      <c r="A17" s="138"/>
      <c r="B17" s="138"/>
      <c r="C17" s="138"/>
      <c r="D17" s="138"/>
      <c r="E17" s="138"/>
      <c r="F17" s="138"/>
      <c r="G17" s="138"/>
      <c r="H17" s="138"/>
    </row>
    <row r="19" spans="1:8">
      <c r="D19" s="101" t="s">
        <v>288</v>
      </c>
      <c r="E19" s="101" t="s">
        <v>288</v>
      </c>
      <c r="F19" s="101" t="s">
        <v>288</v>
      </c>
      <c r="G19" s="101" t="s">
        <v>288</v>
      </c>
    </row>
    <row r="20" spans="1:8">
      <c r="D20" s="101" t="s">
        <v>288</v>
      </c>
      <c r="E20" s="101" t="s">
        <v>288</v>
      </c>
      <c r="F20" s="101" t="s">
        <v>288</v>
      </c>
      <c r="G20" s="101" t="s">
        <v>288</v>
      </c>
    </row>
    <row r="21" spans="1:8">
      <c r="D21" s="101" t="s">
        <v>288</v>
      </c>
      <c r="E21" s="101" t="s">
        <v>288</v>
      </c>
      <c r="F21" s="101" t="s">
        <v>288</v>
      </c>
      <c r="G21" s="101" t="s">
        <v>288</v>
      </c>
    </row>
    <row r="22" spans="1:8">
      <c r="D22" s="101" t="s">
        <v>288</v>
      </c>
      <c r="E22" s="101" t="s">
        <v>288</v>
      </c>
      <c r="F22" s="101" t="s">
        <v>288</v>
      </c>
      <c r="G22" s="101" t="s">
        <v>288</v>
      </c>
    </row>
    <row r="23" spans="1:8">
      <c r="D23" s="101" t="s">
        <v>288</v>
      </c>
      <c r="E23" s="101" t="s">
        <v>288</v>
      </c>
      <c r="F23" s="101" t="s">
        <v>288</v>
      </c>
      <c r="G23" s="101"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G20"/>
  <sheetViews>
    <sheetView workbookViewId="0">
      <selection activeCell="A9" sqref="A9"/>
    </sheetView>
  </sheetViews>
  <sheetFormatPr defaultRowHeight="15.75"/>
  <cols>
    <col min="1" max="1" width="28.625" customWidth="1"/>
    <col min="3" max="3" width="22.625" customWidth="1"/>
    <col min="4" max="4" width="9.5" bestFit="1" customWidth="1"/>
    <col min="23" max="24" width="13.875" bestFit="1" customWidth="1"/>
    <col min="25" max="25" width="12.5" bestFit="1" customWidth="1"/>
    <col min="26" max="26" width="11.125" bestFit="1" customWidth="1"/>
  </cols>
  <sheetData>
    <row r="1" spans="1:3" ht="18.75">
      <c r="A1" s="110" t="s">
        <v>1627</v>
      </c>
    </row>
    <row r="3" spans="1:3">
      <c r="A3" t="s">
        <v>1628</v>
      </c>
      <c r="C3" s="112"/>
    </row>
    <row r="4" spans="1:3">
      <c r="A4" t="s">
        <v>1629</v>
      </c>
    </row>
    <row r="5" spans="1:3">
      <c r="A5" t="s">
        <v>1631</v>
      </c>
      <c r="C5" s="113"/>
    </row>
    <row r="6" spans="1:3">
      <c r="A6" s="111" t="s">
        <v>1630</v>
      </c>
    </row>
    <row r="7" spans="1:3">
      <c r="A7" s="124" t="s">
        <v>1653</v>
      </c>
    </row>
    <row r="8" spans="1:3" ht="15.75" customHeight="1">
      <c r="A8" s="125" t="s">
        <v>1654</v>
      </c>
    </row>
    <row r="9" spans="1:3">
      <c r="A9" s="125"/>
    </row>
    <row r="10" spans="1:3">
      <c r="A10" s="127" t="s">
        <v>1655</v>
      </c>
    </row>
    <row r="11" spans="1:3">
      <c r="A11" s="127" t="s">
        <v>1656</v>
      </c>
    </row>
    <row r="12" spans="1:3">
      <c r="A12" s="127" t="s">
        <v>1657</v>
      </c>
    </row>
    <row r="13" spans="1:3">
      <c r="A13" s="127" t="s">
        <v>1658</v>
      </c>
    </row>
    <row r="14" spans="1:3">
      <c r="A14" s="127" t="s">
        <v>1659</v>
      </c>
    </row>
    <row r="15" spans="1:3">
      <c r="A15" s="127" t="s">
        <v>1660</v>
      </c>
    </row>
    <row r="16" spans="1:3">
      <c r="A16" s="126"/>
    </row>
    <row r="17" spans="1:7" ht="16.5" thickBot="1">
      <c r="A17" s="126"/>
    </row>
    <row r="18" spans="1:7">
      <c r="A18" s="149" t="s">
        <v>1661</v>
      </c>
      <c r="B18" s="149" t="s">
        <v>1662</v>
      </c>
      <c r="C18" s="149" t="s">
        <v>23</v>
      </c>
      <c r="D18" s="128" t="s">
        <v>1663</v>
      </c>
      <c r="E18" s="149" t="s">
        <v>1665</v>
      </c>
      <c r="F18" s="149" t="s">
        <v>1666</v>
      </c>
      <c r="G18" s="147" t="s">
        <v>1667</v>
      </c>
    </row>
    <row r="19" spans="1:7" ht="63.75" thickBot="1">
      <c r="A19" s="150"/>
      <c r="B19" s="150"/>
      <c r="C19" s="150"/>
      <c r="D19" s="129" t="s">
        <v>1664</v>
      </c>
      <c r="E19" s="150"/>
      <c r="F19" s="150"/>
      <c r="G19" s="148"/>
    </row>
    <row r="20" spans="1:7" ht="48.75" thickBot="1">
      <c r="A20" s="130" t="s">
        <v>1668</v>
      </c>
      <c r="B20" s="131">
        <v>7</v>
      </c>
      <c r="C20" s="132" t="s">
        <v>74</v>
      </c>
      <c r="D20" s="132" t="s">
        <v>1669</v>
      </c>
      <c r="E20" s="132" t="s">
        <v>1670</v>
      </c>
      <c r="F20" s="133" t="s">
        <v>1671</v>
      </c>
      <c r="G20" s="134">
        <v>4.7600000000000003E-2</v>
      </c>
    </row>
  </sheetData>
  <mergeCells count="6">
    <mergeCell ref="G18:G19"/>
    <mergeCell ref="A18:A19"/>
    <mergeCell ref="B18:B19"/>
    <mergeCell ref="C18:C19"/>
    <mergeCell ref="E18:E19"/>
    <mergeCell ref="F18:F19"/>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1" r:id="rId3" name="Button 9">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13322" r:id="rId4" name="Button 10">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93" t="s">
        <v>1483</v>
      </c>
      <c r="I1" s="92"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4" t="s">
        <v>1558</v>
      </c>
      <c r="B15" t="s">
        <v>1560</v>
      </c>
      <c r="D15" s="9" t="s">
        <v>98</v>
      </c>
      <c r="I15" t="s">
        <v>1518</v>
      </c>
    </row>
    <row r="16" spans="1:9">
      <c r="A16" s="94"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4" t="s">
        <v>1558</v>
      </c>
      <c r="G182" t="s">
        <v>1560</v>
      </c>
      <c r="H182" t="s">
        <v>286</v>
      </c>
      <c r="I182" t="s">
        <v>288</v>
      </c>
      <c r="J182" t="s">
        <v>288</v>
      </c>
    </row>
    <row r="183" spans="6:12">
      <c r="F183" s="94" t="s">
        <v>1558</v>
      </c>
      <c r="G183" t="s">
        <v>1560</v>
      </c>
      <c r="H183" t="s">
        <v>287</v>
      </c>
      <c r="I183" t="s">
        <v>288</v>
      </c>
      <c r="J183" t="s">
        <v>288</v>
      </c>
    </row>
    <row r="184" spans="6:12">
      <c r="F184" s="94" t="s">
        <v>1558</v>
      </c>
      <c r="G184" t="s">
        <v>1560</v>
      </c>
      <c r="H184" t="s">
        <v>83</v>
      </c>
      <c r="I184" t="s">
        <v>288</v>
      </c>
      <c r="J184" t="s">
        <v>288</v>
      </c>
    </row>
    <row r="185" spans="6:12">
      <c r="F185" s="94" t="s">
        <v>1558</v>
      </c>
      <c r="G185" t="s">
        <v>1560</v>
      </c>
      <c r="H185" t="s">
        <v>289</v>
      </c>
      <c r="I185" t="s">
        <v>288</v>
      </c>
      <c r="J185" t="s">
        <v>288</v>
      </c>
    </row>
    <row r="186" spans="6:12">
      <c r="F186" s="94" t="s">
        <v>1558</v>
      </c>
      <c r="G186" t="s">
        <v>1560</v>
      </c>
      <c r="H186" t="s">
        <v>89</v>
      </c>
      <c r="I186" t="s">
        <v>288</v>
      </c>
      <c r="J186" t="s">
        <v>288</v>
      </c>
    </row>
    <row r="187" spans="6:12">
      <c r="F187" s="94" t="s">
        <v>1558</v>
      </c>
      <c r="G187" t="s">
        <v>1560</v>
      </c>
      <c r="H187" t="s">
        <v>290</v>
      </c>
      <c r="I187" t="s">
        <v>288</v>
      </c>
      <c r="J187" t="s">
        <v>288</v>
      </c>
    </row>
    <row r="188" spans="6:12">
      <c r="F188" s="94"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4" t="s">
        <v>1558</v>
      </c>
      <c r="G189" t="s">
        <v>1560</v>
      </c>
      <c r="H189" t="s">
        <v>291</v>
      </c>
      <c r="I189" t="s">
        <v>288</v>
      </c>
      <c r="J189" t="s">
        <v>288</v>
      </c>
    </row>
    <row r="190" spans="6:12">
      <c r="F190" s="94" t="s">
        <v>1558</v>
      </c>
      <c r="G190" t="s">
        <v>1560</v>
      </c>
      <c r="H190" t="s">
        <v>299</v>
      </c>
      <c r="I190" t="s">
        <v>288</v>
      </c>
      <c r="J190" t="s">
        <v>288</v>
      </c>
    </row>
    <row r="191" spans="6:12">
      <c r="F191" s="94" t="s">
        <v>1558</v>
      </c>
      <c r="G191" t="s">
        <v>1560</v>
      </c>
      <c r="H191" t="s">
        <v>300</v>
      </c>
      <c r="I191" t="s">
        <v>288</v>
      </c>
      <c r="J191" t="s">
        <v>288</v>
      </c>
    </row>
    <row r="192" spans="6:12">
      <c r="F192" s="94" t="s">
        <v>1558</v>
      </c>
      <c r="G192" t="s">
        <v>1560</v>
      </c>
      <c r="H192" t="s">
        <v>293</v>
      </c>
      <c r="I192" t="s">
        <v>288</v>
      </c>
      <c r="J192" t="s">
        <v>288</v>
      </c>
    </row>
    <row r="193" spans="6:12">
      <c r="F193" s="94" t="s">
        <v>1558</v>
      </c>
      <c r="G193" t="s">
        <v>1560</v>
      </c>
      <c r="H193" t="s">
        <v>294</v>
      </c>
      <c r="I193" t="s">
        <v>288</v>
      </c>
      <c r="J193" t="s">
        <v>288</v>
      </c>
    </row>
    <row r="194" spans="6:12">
      <c r="F194" s="94"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4"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51"/>
      <c r="B17" s="152"/>
      <c r="C17" s="152"/>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6"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53" t="s">
        <v>399</v>
      </c>
      <c r="H35" s="153" t="s">
        <v>400</v>
      </c>
      <c r="I35" s="153" t="s">
        <v>401</v>
      </c>
      <c r="J35" s="153" t="s">
        <v>402</v>
      </c>
      <c r="K35" s="153"/>
      <c r="L35" s="153" t="s">
        <v>403</v>
      </c>
      <c r="M35" s="153"/>
      <c r="N35" s="153" t="s">
        <v>404</v>
      </c>
      <c r="O35" s="153"/>
    </row>
    <row r="36" spans="4:15">
      <c r="F36" s="20"/>
      <c r="G36" s="153"/>
      <c r="H36" s="153"/>
      <c r="I36" s="153"/>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100"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97">
        <f t="shared" si="2"/>
        <v>3</v>
      </c>
      <c r="J50" s="21" t="s">
        <v>469</v>
      </c>
      <c r="K50" s="97">
        <f t="shared" si="4"/>
        <v>3</v>
      </c>
      <c r="L50" s="21" t="s">
        <v>430</v>
      </c>
      <c r="M50" s="97">
        <f t="shared" si="6"/>
        <v>4</v>
      </c>
      <c r="N50" s="97" t="s">
        <v>457</v>
      </c>
      <c r="O50" s="97">
        <f t="shared" si="7"/>
        <v>4</v>
      </c>
    </row>
    <row r="51" spans="6:15">
      <c r="F51" s="103" t="s">
        <v>1595</v>
      </c>
      <c r="G51" s="104" t="s">
        <v>1588</v>
      </c>
      <c r="H51" s="104" t="s">
        <v>1592</v>
      </c>
      <c r="I51" s="104">
        <f t="shared" si="2"/>
        <v>2</v>
      </c>
      <c r="J51" s="104" t="s">
        <v>425</v>
      </c>
      <c r="K51" s="104">
        <f t="shared" si="4"/>
        <v>3</v>
      </c>
      <c r="L51" s="104" t="s">
        <v>425</v>
      </c>
      <c r="M51" s="104">
        <f t="shared" si="6"/>
        <v>3</v>
      </c>
      <c r="N51" s="104" t="s">
        <v>1594</v>
      </c>
      <c r="O51" s="104">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54" t="s">
        <v>399</v>
      </c>
      <c r="H90" s="154" t="s">
        <v>400</v>
      </c>
      <c r="I90" s="154" t="s">
        <v>401</v>
      </c>
      <c r="J90" s="154" t="s">
        <v>402</v>
      </c>
      <c r="K90" s="154"/>
      <c r="L90" s="154" t="s">
        <v>403</v>
      </c>
      <c r="M90" s="154"/>
      <c r="N90" s="154" t="s">
        <v>404</v>
      </c>
      <c r="O90" s="154"/>
      <c r="P90" s="70"/>
      <c r="Q90" s="71"/>
      <c r="R90" s="71"/>
    </row>
    <row r="91" spans="5:18">
      <c r="E91" s="70"/>
      <c r="F91" s="70"/>
      <c r="G91" s="154"/>
      <c r="H91" s="154"/>
      <c r="I91" s="154"/>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105"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105"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6"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105"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105"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105" t="s">
        <v>447</v>
      </c>
      <c r="O97" s="72">
        <f t="shared" si="9"/>
        <v>2</v>
      </c>
      <c r="P97" s="70"/>
      <c r="Q97" s="71" t="s">
        <v>481</v>
      </c>
      <c r="R97" s="71"/>
    </row>
    <row r="98" spans="5:18">
      <c r="E98" s="70"/>
      <c r="F98" s="99" t="s">
        <v>1600</v>
      </c>
      <c r="G98" s="72" t="s">
        <v>58</v>
      </c>
      <c r="H98" s="72" t="s">
        <v>483</v>
      </c>
      <c r="I98" s="72">
        <f t="shared" si="10"/>
        <v>3</v>
      </c>
      <c r="J98" s="105"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9"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9" t="s">
        <v>1558</v>
      </c>
      <c r="G106" s="98" t="s">
        <v>1560</v>
      </c>
      <c r="H106" s="98" t="s">
        <v>1561</v>
      </c>
      <c r="I106" s="98">
        <f t="shared" si="10"/>
        <v>3</v>
      </c>
      <c r="J106" s="98" t="s">
        <v>427</v>
      </c>
      <c r="K106" s="98">
        <f t="shared" si="14"/>
        <v>3</v>
      </c>
      <c r="L106" s="98" t="s">
        <v>430</v>
      </c>
      <c r="M106" s="98">
        <f t="shared" si="8"/>
        <v>4</v>
      </c>
      <c r="N106" s="98" t="s">
        <v>1563</v>
      </c>
      <c r="O106" s="98">
        <f t="shared" si="13"/>
        <v>4</v>
      </c>
      <c r="P106" s="70"/>
      <c r="Q106" s="71" t="s">
        <v>1562</v>
      </c>
      <c r="R106" s="71"/>
    </row>
    <row r="107" spans="5:18">
      <c r="E107" s="70"/>
      <c r="F107" s="99" t="s">
        <v>1587</v>
      </c>
      <c r="G107" s="102" t="s">
        <v>1589</v>
      </c>
      <c r="H107" s="102" t="s">
        <v>1593</v>
      </c>
      <c r="I107" s="102">
        <f t="shared" si="10"/>
        <v>2</v>
      </c>
      <c r="J107" s="102" t="s">
        <v>1566</v>
      </c>
      <c r="K107" s="102">
        <f t="shared" si="14"/>
        <v>3</v>
      </c>
      <c r="L107" s="102" t="s">
        <v>1566</v>
      </c>
      <c r="M107" s="102">
        <f t="shared" si="8"/>
        <v>3</v>
      </c>
      <c r="N107" s="102" t="s">
        <v>1594</v>
      </c>
      <c r="O107" s="10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5" t="s">
        <v>1533</v>
      </c>
      <c r="U1" s="13" t="s">
        <v>37</v>
      </c>
      <c r="V1" s="81" t="s">
        <v>1532</v>
      </c>
    </row>
    <row r="2" spans="1:22">
      <c r="A2" s="14" t="s">
        <v>291</v>
      </c>
      <c r="B2" s="120" t="s">
        <v>1633</v>
      </c>
      <c r="C2" s="121"/>
      <c r="D2" s="121"/>
      <c r="E2" s="121"/>
      <c r="F2" s="121"/>
      <c r="G2" s="121"/>
      <c r="H2" s="15"/>
      <c r="I2" s="121"/>
      <c r="J2" s="121"/>
      <c r="K2" s="121"/>
      <c r="L2" s="121"/>
      <c r="M2" s="121"/>
      <c r="N2" s="121"/>
      <c r="O2" s="121"/>
      <c r="P2" s="121"/>
      <c r="Q2" s="121"/>
      <c r="R2" s="121"/>
      <c r="S2" s="121"/>
      <c r="T2" s="121"/>
      <c r="U2" s="15"/>
      <c r="V2" s="122">
        <v>0</v>
      </c>
    </row>
    <row r="3" spans="1:22" ht="16.5" thickBot="1">
      <c r="A3" s="14" t="s">
        <v>294</v>
      </c>
      <c r="B3" s="116" t="s">
        <v>22</v>
      </c>
      <c r="C3" s="117" t="s">
        <v>399</v>
      </c>
      <c r="D3" s="117" t="s">
        <v>23</v>
      </c>
      <c r="E3" s="118" t="s">
        <v>1642</v>
      </c>
      <c r="F3" s="117" t="s">
        <v>25</v>
      </c>
      <c r="G3" s="117" t="s">
        <v>26</v>
      </c>
      <c r="H3" s="117" t="s">
        <v>27</v>
      </c>
      <c r="I3" s="117" t="s">
        <v>28</v>
      </c>
      <c r="J3" s="117" t="s">
        <v>29</v>
      </c>
      <c r="K3" s="117" t="s">
        <v>30</v>
      </c>
      <c r="L3" s="117" t="s">
        <v>31</v>
      </c>
      <c r="M3" s="117" t="s">
        <v>32</v>
      </c>
      <c r="N3" s="117" t="s">
        <v>1643</v>
      </c>
      <c r="O3" s="117" t="s">
        <v>1644</v>
      </c>
      <c r="P3" s="117" t="s">
        <v>33</v>
      </c>
      <c r="Q3" s="117" t="s">
        <v>34</v>
      </c>
      <c r="R3" s="115" t="s">
        <v>35</v>
      </c>
      <c r="S3" s="115" t="s">
        <v>36</v>
      </c>
      <c r="T3" s="117" t="s">
        <v>1645</v>
      </c>
      <c r="U3" s="115" t="s">
        <v>37</v>
      </c>
      <c r="V3" s="119" t="s">
        <v>1646</v>
      </c>
    </row>
    <row r="4" spans="1:22" ht="32.25" thickBot="1">
      <c r="A4" s="14" t="s">
        <v>294</v>
      </c>
      <c r="C4" t="s">
        <v>1636</v>
      </c>
      <c r="E4" s="13" t="s">
        <v>1635</v>
      </c>
      <c r="K4" s="114" t="s">
        <v>1637</v>
      </c>
      <c r="L4" t="s">
        <v>1634</v>
      </c>
      <c r="M4" s="114" t="s">
        <v>1637</v>
      </c>
      <c r="V4">
        <v>0</v>
      </c>
    </row>
    <row r="5" spans="1:22" ht="16.5" thickBot="1">
      <c r="C5" t="s">
        <v>1638</v>
      </c>
      <c r="K5" s="114" t="s">
        <v>1639</v>
      </c>
      <c r="M5" t="s">
        <v>1640</v>
      </c>
      <c r="V5">
        <v>0</v>
      </c>
    </row>
    <row r="6" spans="1:22">
      <c r="C6" t="s">
        <v>1641</v>
      </c>
      <c r="K6" t="s">
        <v>1639</v>
      </c>
      <c r="M6" t="s">
        <v>1640</v>
      </c>
      <c r="V6">
        <v>0</v>
      </c>
    </row>
    <row r="7" spans="1:22">
      <c r="A7" s="14" t="s">
        <v>299</v>
      </c>
      <c r="B7" s="116" t="s">
        <v>22</v>
      </c>
      <c r="C7" s="117" t="s">
        <v>399</v>
      </c>
      <c r="D7" s="117" t="s">
        <v>23</v>
      </c>
      <c r="E7" s="118" t="s">
        <v>1642</v>
      </c>
      <c r="F7" s="117" t="s">
        <v>25</v>
      </c>
      <c r="G7" s="117" t="s">
        <v>26</v>
      </c>
      <c r="H7" s="117" t="s">
        <v>27</v>
      </c>
      <c r="I7" s="117" t="s">
        <v>28</v>
      </c>
      <c r="J7" s="117" t="s">
        <v>29</v>
      </c>
      <c r="K7" s="117" t="s">
        <v>30</v>
      </c>
      <c r="L7" s="117" t="s">
        <v>31</v>
      </c>
      <c r="M7" s="117" t="s">
        <v>32</v>
      </c>
      <c r="N7" s="117" t="s">
        <v>1643</v>
      </c>
      <c r="O7" s="117" t="s">
        <v>1644</v>
      </c>
      <c r="P7" s="117" t="s">
        <v>33</v>
      </c>
      <c r="Q7" s="117" t="s">
        <v>34</v>
      </c>
      <c r="R7" s="115" t="s">
        <v>35</v>
      </c>
      <c r="S7" s="115" t="s">
        <v>36</v>
      </c>
      <c r="T7" s="117" t="s">
        <v>1645</v>
      </c>
      <c r="U7" s="115" t="s">
        <v>37</v>
      </c>
      <c r="V7" s="119"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16" t="s">
        <v>22</v>
      </c>
      <c r="C11" s="117" t="s">
        <v>399</v>
      </c>
      <c r="D11" s="117" t="s">
        <v>23</v>
      </c>
      <c r="E11" s="118" t="s">
        <v>1642</v>
      </c>
      <c r="F11" s="117" t="s">
        <v>25</v>
      </c>
      <c r="G11" s="117" t="s">
        <v>26</v>
      </c>
      <c r="H11" s="117" t="s">
        <v>27</v>
      </c>
      <c r="I11" s="117" t="s">
        <v>28</v>
      </c>
      <c r="J11" s="117" t="s">
        <v>29</v>
      </c>
      <c r="K11" s="117" t="s">
        <v>30</v>
      </c>
      <c r="L11" s="117" t="s">
        <v>31</v>
      </c>
      <c r="M11" s="117" t="s">
        <v>32</v>
      </c>
      <c r="N11" s="117" t="s">
        <v>1643</v>
      </c>
      <c r="O11" s="117" t="s">
        <v>1644</v>
      </c>
      <c r="P11" s="117" t="s">
        <v>33</v>
      </c>
      <c r="Q11" s="117" t="s">
        <v>34</v>
      </c>
      <c r="R11" s="115" t="s">
        <v>35</v>
      </c>
      <c r="S11" s="115" t="s">
        <v>36</v>
      </c>
      <c r="T11" s="117" t="s">
        <v>1645</v>
      </c>
      <c r="U11" s="115" t="s">
        <v>37</v>
      </c>
      <c r="V11" s="119" t="s">
        <v>1646</v>
      </c>
    </row>
    <row r="12" spans="1:22">
      <c r="A12" s="14"/>
      <c r="C12" t="s">
        <v>1650</v>
      </c>
      <c r="E12" t="s">
        <v>1649</v>
      </c>
      <c r="K12" t="s">
        <v>1639</v>
      </c>
      <c r="L12" t="s">
        <v>1634</v>
      </c>
      <c r="M12" t="s">
        <v>1639</v>
      </c>
      <c r="P12" t="s">
        <v>1649</v>
      </c>
    </row>
    <row r="13" spans="1:22" ht="16.5" customHeight="1">
      <c r="A13" s="14" t="s">
        <v>1586</v>
      </c>
      <c r="B13" s="120"/>
      <c r="C13" s="121"/>
      <c r="D13" s="121"/>
      <c r="E13" s="123">
        <v>0</v>
      </c>
      <c r="F13" s="121"/>
      <c r="G13" s="121"/>
      <c r="H13" s="15"/>
      <c r="I13" s="121"/>
      <c r="J13" s="121"/>
      <c r="K13" s="121"/>
      <c r="L13" s="121"/>
      <c r="M13" s="121"/>
      <c r="N13" s="121"/>
      <c r="O13" s="121"/>
      <c r="P13" s="121"/>
      <c r="Q13" s="121"/>
      <c r="R13" s="121"/>
      <c r="S13" s="121"/>
      <c r="T13" s="121"/>
      <c r="U13" s="15"/>
      <c r="V13" s="122">
        <v>0</v>
      </c>
    </row>
    <row r="14" spans="1:22">
      <c r="A14" s="14" t="s">
        <v>1578</v>
      </c>
      <c r="B14" s="120"/>
      <c r="C14" s="121"/>
      <c r="D14" s="121"/>
      <c r="E14" s="121"/>
      <c r="F14" s="121"/>
      <c r="G14" s="121"/>
      <c r="H14" s="15"/>
      <c r="I14" s="121"/>
      <c r="J14" s="121"/>
      <c r="K14" s="121"/>
      <c r="L14" s="121"/>
      <c r="M14" s="121"/>
      <c r="N14" s="121"/>
      <c r="O14" s="121"/>
      <c r="P14" s="121"/>
      <c r="Q14" s="121"/>
      <c r="R14" s="121"/>
      <c r="S14" s="121"/>
      <c r="T14" s="121"/>
      <c r="U14" s="121" t="s">
        <v>1652</v>
      </c>
      <c r="V14" s="122">
        <v>0</v>
      </c>
    </row>
    <row r="17" spans="1:22">
      <c r="A17" s="14" t="s">
        <v>290</v>
      </c>
      <c r="B17" s="135"/>
      <c r="C17" s="135"/>
      <c r="D17" s="135"/>
      <c r="E17" s="135" t="s">
        <v>1672</v>
      </c>
      <c r="F17" s="136" t="s">
        <v>197</v>
      </c>
      <c r="G17" s="137" t="s">
        <v>250</v>
      </c>
      <c r="O17" s="135" t="s">
        <v>1673</v>
      </c>
      <c r="P17" s="135"/>
      <c r="Q17" s="135" t="s">
        <v>298</v>
      </c>
      <c r="T17" s="135">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dimension ref="A1:W4"/>
  <sheetViews>
    <sheetView tabSelected="1" workbookViewId="0">
      <selection activeCell="H18" sqref="H18"/>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5" t="s">
        <v>1533</v>
      </c>
      <c r="U1" s="13" t="s">
        <v>37</v>
      </c>
      <c r="V1" s="81" t="s">
        <v>1532</v>
      </c>
      <c r="W1" s="1" t="s">
        <v>1674</v>
      </c>
    </row>
    <row r="2" spans="1:23" ht="16.5">
      <c r="A2" t="s">
        <v>1590</v>
      </c>
      <c r="B2" t="s">
        <v>1675</v>
      </c>
      <c r="C2" t="s">
        <v>1675</v>
      </c>
      <c r="D2" t="s">
        <v>1675</v>
      </c>
      <c r="E2" t="s">
        <v>1675</v>
      </c>
      <c r="F2" t="s">
        <v>1675</v>
      </c>
      <c r="G2" t="s">
        <v>1675</v>
      </c>
      <c r="H2" t="s">
        <v>1675</v>
      </c>
      <c r="I2" t="s">
        <v>1675</v>
      </c>
      <c r="J2" t="s">
        <v>1675</v>
      </c>
      <c r="K2" t="s">
        <v>1675</v>
      </c>
      <c r="L2" t="s">
        <v>1675</v>
      </c>
      <c r="M2" t="s">
        <v>1675</v>
      </c>
      <c r="N2" t="s">
        <v>1675</v>
      </c>
      <c r="O2" t="s">
        <v>1675</v>
      </c>
      <c r="P2" t="s">
        <v>1675</v>
      </c>
      <c r="Q2" t="s">
        <v>1675</v>
      </c>
      <c r="R2" t="s">
        <v>1675</v>
      </c>
      <c r="S2" t="s">
        <v>1675</v>
      </c>
      <c r="T2" t="s">
        <v>1675</v>
      </c>
      <c r="V2" t="s">
        <v>1675</v>
      </c>
      <c r="W2" t="s">
        <v>1676</v>
      </c>
    </row>
    <row r="3" spans="1:23" ht="16.5">
      <c r="A3" t="s">
        <v>1586</v>
      </c>
      <c r="B3" t="s">
        <v>1675</v>
      </c>
      <c r="C3" t="s">
        <v>1675</v>
      </c>
      <c r="D3" t="s">
        <v>1675</v>
      </c>
      <c r="E3">
        <v>0</v>
      </c>
      <c r="F3" t="s">
        <v>1675</v>
      </c>
      <c r="G3" t="s">
        <v>1675</v>
      </c>
      <c r="H3" t="s">
        <v>1675</v>
      </c>
      <c r="I3" t="s">
        <v>1675</v>
      </c>
      <c r="J3" t="s">
        <v>1675</v>
      </c>
      <c r="K3" t="s">
        <v>1675</v>
      </c>
      <c r="L3" t="s">
        <v>1675</v>
      </c>
      <c r="M3" t="s">
        <v>1675</v>
      </c>
      <c r="N3" t="s">
        <v>1675</v>
      </c>
      <c r="O3" t="s">
        <v>1675</v>
      </c>
      <c r="P3" t="s">
        <v>1675</v>
      </c>
      <c r="Q3" t="s">
        <v>1675</v>
      </c>
      <c r="R3" t="s">
        <v>1675</v>
      </c>
      <c r="S3" t="s">
        <v>1675</v>
      </c>
      <c r="T3" t="s">
        <v>1675</v>
      </c>
      <c r="V3" t="s">
        <v>1675</v>
      </c>
      <c r="W3" t="s">
        <v>1678</v>
      </c>
    </row>
    <row r="4" spans="1:23">
      <c r="A4" t="s">
        <v>1677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任益農72215</cp:lastModifiedBy>
  <dcterms:created xsi:type="dcterms:W3CDTF">2025-11-18T09:46:39Z</dcterms:created>
  <dcterms:modified xsi:type="dcterms:W3CDTF">2026-10-29T09:53:22Z</dcterms:modified>
</cp:coreProperties>
</file>