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CC11913D-8A7E-46E6-9877-FCE1F6FAC9EF}" xr6:coauthVersionLast="47" xr6:coauthVersionMax="47" xr10:uidLastSave="{00000000-0000-0000-0000-000000000000}"/>
  <bookViews>
    <workbookView xWindow="-120" yWindow="-120" windowWidth="29040" windowHeight="15720" activeTab="9"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 name="工作表1" sheetId="11" r:id="rId9"/>
    <sheet name="起單回填規則" sheetId="12" r:id="rId10"/>
  </sheets>
  <functionGroups builtInGroupCount="19"/>
  <externalReferences>
    <externalReference r:id="rId11"/>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<sst xmlns="http://schemas.openxmlformats.org/spreadsheetml/2006/main" count="3157" uniqueCount="1679">
  <si>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</si>
  <si>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</si>
  <si>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</si>
  <si>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</si>
  <si>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</si>
  <si>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</si>
  <si>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</si>
  <si>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</si>
  <si>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</si>
  <si>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</si>
  <si>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</si>
  <si>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</si>
  <si>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</si>
  <si>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</si>
  <si>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</si>
  <si>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</si>
  <si>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</si>
  <si>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</si>
  <si>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</si>
  <si>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</si>
  <si>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</si>
  <si>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</si>
  <si>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</si>
  <si>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</si>
  <si>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</si>
  <si>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</si>
  <si>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</si>
  <si>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</si>
  <si>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</si>
  <si>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</si>
  <si>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</si>
  <si>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</si>
  <si>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</si>
  <si>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</si>
  <si>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</si>
  <si>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</si>
  <si>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</si>
  <si>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</si>
  <si>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</si>
  <si>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</si>
  <si>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</si>
  <si>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</si>
  <si>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</si>
  <si>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</si>
  <si>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</si>
  <si>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</si>
  <si>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</si>
  <si>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</si>
  <si>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</si>
  <si>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</si>
  <si>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</si>
  <si>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</si>
  <si>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</si>
  <si>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</si>
  <si>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</si>
  <si>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</si>
  <si>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</si>
  <si>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</si>
  <si>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</si>
  <si>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</si>
  <si>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</si>
  <si>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</si>
  <si>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</si>
  <si>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</si>
  <si>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</si>
  <si>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</si>
  <si>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</si>
  <si>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</si>
  <si>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</si>
  <si>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</si>
  <si>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</si>
  <si>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</si>
  <si>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</si>
  <si>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</si>
  <si>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</si>
  <si>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</si>
  <si>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</si>
  <si>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</si>
  <si>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</si>
  <si>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</si>
  <si>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</si>
  <si>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</si>
  <si>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</si>
  <si>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</si>
  <si>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</si>
  <si>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</si>
  <si>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</si>
  <si>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</si>
  <si>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</si>
  <si>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</si>
  <si>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</si>
  <si>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</si>
  <si>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</si>
  <si>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</si>
  <si>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</si>
  <si>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</si>
  <si>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</si>
  <si>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</si>
  <si>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</si>
  <si>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</si>
  <si>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</si>
  <si>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</si>
  <si>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</si>
  <si>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</si>
  <si>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</si>
  <si>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</si>
  <si>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</si>
  <si>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</si>
  <si>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</si>
  <si>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</si>
  <si>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</si>
  <si>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</si>
  <si>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</si>
  <si>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</si>
  <si>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</si>
  <si>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</si>
  <si>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</si>
  <si>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</si>
  <si>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</si>
  <si>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</si>
  <si>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</si>
  <si>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</si>
  <si>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</si>
  <si>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</si>
  <si>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</si>
  <si>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</si>
  <si>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</si>
  <si>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</si>
  <si>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</si>
  <si>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</si>
  <si>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</si>
  <si>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</si>
  <si>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</si>
  <si>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</si>
  <si>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</si>
  <si>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</si>
  <si>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</si>
  <si>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</si>
  <si>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</si>
  <si>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</si>
  <si>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</si>
  <si>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</si>
  <si>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</si>
  <si>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</si>
  <si>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</si>
  <si>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</si>
  <si>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</si>
  <si>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</si>
  <si>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</si>
  <si>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</si>
  <si>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</si>
  <si>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</si>
  <si>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</si>
  <si>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</si>
  <si>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</si>
  <si>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</si>
  <si>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</si>
  <si>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</si>
  <si>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</si>
  <si>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</si>
  <si>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</si>
  <si>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</si>
  <si>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</si>
  <si>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</si>
  <si>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</si>
  <si>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</si>
  <si>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</si>
  <si>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</si>
  <si>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</si>
  <si>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</si>
  <si>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</si>
  <si>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</si>
  <si>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</si>
  <si>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</si>
  <si>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</si>
  <si>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</si>
  <si>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</si>
  <si>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</si>
  <si>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</si>
  <si>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</si>
  <si>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</si>
  <si>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</si>
  <si>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</si>
  <si>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</si>
  <si>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</si>
  <si>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</si>
  <si>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</si>
  <si>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</si>
  <si>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</si>
  <si>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</si>
  <si>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</si>
  <si>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</si>
  <si>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</si>
  <si>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</si>
  <si>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</si>
  <si>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</si>
  <si>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</si>
  <si>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</si>
  <si>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</si>
  <si>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</si>
  <si>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</si>
  <si>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</si>
  <si>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</si>
  <si>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</si>
  <si>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</si>
  <si>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</si>
  <si>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</si>
  <si>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</si>
  <si>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</si>
  <si>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</si>
  <si>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</si>
  <si>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</si>
  <si>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</si>
  <si>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</si>
  <si>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</si>
  <si>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</si>
  <si>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</si>
  <si>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</si>
  <si>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</si>
  <si>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</si>
  <si>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</si>
  <si>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</si>
  <si>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</si>
  <si>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</si>
  <si>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</si>
  <si>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</si>
  <si>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</si>
  <si>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</si>
  <si>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</si>
  <si>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</si>
  <si>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</si>
  <si>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</si>
  <si>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</si>
  <si>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</si>
  <si>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</si>
  <si>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</si>
  <si>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</si>
  <si>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</si>
  <si>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</si>
  <si>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</si>
  <si>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</si>
  <si>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</si>
  <si>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</si>
  <si>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</si>
  <si>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</si>
  <si>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</si>
  <si>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</si>
  <si>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</si>
  <si>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</si>
  <si>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</si>
  <si>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</si>
  <si>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</si>
  <si>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</si>
  <si>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</si>
  <si>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</si>
  <si>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</si>
  <si>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</si>
  <si>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</si>
  <si>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</si>
  <si>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</si>
  <si>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</si>
  <si>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</si>
  <si>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</si>
  <si>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</si>
  <si>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</si>
  <si>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</si>
  <si>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</si>
  <si>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</si>
  <si>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</si>
  <si>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</si>
  <si>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</si>
  <si>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</si>
  <si>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</si>
  <si>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</si>
  <si>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</si>
  <si>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</si>
  <si>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</si>
  <si>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</si>
  <si>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</si>
  <si>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</si>
  <si>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</si>
  <si>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</si>
  <si>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</si>
  <si>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</si>
  <si>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</si>
  <si>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</si>
  <si>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</si>
  <si>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</si>
  <si>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</si>
  <si>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</si>
  <si>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</si>
  <si>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</si>
  <si>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</si>
  <si>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</si>
  <si>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</si>
  <si>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</si>
  <si>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</si>
  <si>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</si>
  <si>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</si>
  <si>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</si>
  <si>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</si>
  <si>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</si>
  <si>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</si>
  <si>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</si>
  <si>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</si>
  <si>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</si>
  <si>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</si>
  <si>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</si>
  <si>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</si>
  <si>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</si>
  <si>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</si>
  <si>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</si>
  <si>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</si>
  <si>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</si>
  <si>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</si>
  <si>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</si>
  <si>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</si>
  <si>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</si>
  <si>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</si>
  <si>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</si>
  <si>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</si>
  <si>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</si>
  <si>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</si>
  <si>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</si>
  <si>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</si>
  <si>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</si>
  <si>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</si>
  <si>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</si>
  <si>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</si>
  <si>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</si>
  <si>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</si>
  <si>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</si>
  <si>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</si>
  <si>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</si>
  <si>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</si>
  <si>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</si>
  <si>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</si>
  <si>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</si>
  <si>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</si>
  <si>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</si>
  <si>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</si>
  <si>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</si>
  <si>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</si>
  <si>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</si>
  <si>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</si>
  <si>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</si>
  <si>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</si>
  <si>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</si>
  <si>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</si>
  <si>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</si>
  <si>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</si>
  <si>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</si>
  <si>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</si>
  <si>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</si>
  <si>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</si>
  <si>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</si>
  <si>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</si>
  <si>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</si>
  <si>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</si>
  <si>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</si>
  <si>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</si>
  <si>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</si>
  <si>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</si>
  <si>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</si>
  <si>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</si>
  <si>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</si>
  <si>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</si>
  <si>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</si>
  <si>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</si>
  <si>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</si>
  <si>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</si>
  <si>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</si>
  <si>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</si>
  <si>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</si>
  <si>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</si>
  <si>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</si>
  <si>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</si>
  <si>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</si>
  <si>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</si>
  <si>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</si>
  <si>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</si>
  <si>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</si>
  <si>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</si>
  <si>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</si>
  <si>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</si>
  <si>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</si>
  <si>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</si>
  <si>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</si>
  <si>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</si>
  <si>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</si>
  <si>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</si>
  <si>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</si>
  <si>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</si>
  <si>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</si>
  <si>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</si>
  <si>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</si>
  <si>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</si>
  <si>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</si>
  <si>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</si>
  <si>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</si>
  <si>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</si>
  <si>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</si>
  <si>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</si>
  <si>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</si>
  <si>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</si>
  <si>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</si>
  <si>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</si>
  <si>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</si>
  <si>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</si>
  <si>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</si>
  <si>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</si>
  <si>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</si>
  <si>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</si>
  <si>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</si>
  <si>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</si>
  <si>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</si>
  <si>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</si>
  <si>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</si>
  <si>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</si>
  <si>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</si>
  <si>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</si>
  <si>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</si>
  <si>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</si>
  <si>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</si>
  <si>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</si>
  <si>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</si>
  <si>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</si>
  <si>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</si>
  <si>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</si>
  <si>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</si>
  <si>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</si>
  <si>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</si>
  <si>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</si>
  <si>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</si>
  <si>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</si>
  <si>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</si>
  <si>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</si>
  <si>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</si>
  <si>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</si>
  <si>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</si>
  <si>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</si>
  <si>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</si>
  <si>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</si>
  <si>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</si>
  <si>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</si>
  <si>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</si>
  <si>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</si>
  <si>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</si>
  <si>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</si>
  <si>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</si>
  <si>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</si>
  <si>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</si>
  <si>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</si>
  <si>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</si>
  <si>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</si>
  <si>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</si>
  <si>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</si>
  <si>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</si>
  <si>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</si>
  <si>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</si>
  <si>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</si>
  <si>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</si>
  <si>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</si>
  <si>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</si>
  <si>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</si>
  <si>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</si>
  <si>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</si>
  <si>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</si>
  <si>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</si>
  <si>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</si>
  <si>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</si>
  <si>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</si>
  <si>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</si>
  <si>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</si>
  <si>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</si>
  <si>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</si>
  <si>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</si>
  <si>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</si>
  <si>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</si>
  <si>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</si>
  <si>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</si>
  <si>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</si>
  <si>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</si>
  <si>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</si>
  <si>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</si>
  <si>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</si>
  <si>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</si>
  <si>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</si>
  <si>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</si>
  <si>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</si>
  <si>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</si>
  <si>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</si>
  <si>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</si>
  <si>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</si>
  <si>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</si>
  <si>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</si>
  <si>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</si>
  <si>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</si>
  <si>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</si>
  <si>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</si>
  <si>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</si>
  <si>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</si>
  <si>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</si>
  <si>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</si>
  <si>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</si>
  <si>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</si>
  <si>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</si>
  <si>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</si>
  <si>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</si>
  <si>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</si>
  <si>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</si>
  <si>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</si>
  <si>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</si>
  <si>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</si>
  <si>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</si>
  <si>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</si>
  <si>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</si>
  <si>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</si>
  <si>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</si>
  <si>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</si>
  <si>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</si>
  <si>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</si>
  <si>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</si>
  <si>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</si>
  <si>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</si>
  <si>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</si>
  <si>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</si>
  <si>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</si>
  <si>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</si>
  <si>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</si>
  <si>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</si>
  <si>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</si>
  <si>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</si>
  <si>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</si>
  <si>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</si>
  <si>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</si>
  <si>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</si>
  <si>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</si>
  <si>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</si>
  <si>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</si>
  <si>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</si>
  <si>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</si>
  <si>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</si>
  <si>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</si>
  <si>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</si>
  <si>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</si>
  <si>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</si>
  <si>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</si>
  <si>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</si>
  <si>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</si>
  <si>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</si>
  <si>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</si>
  <si>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</si>
  <si>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</si>
  <si>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</si>
  <si>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</si>
  <si>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</si>
  <si>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</si>
  <si>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</si>
  <si>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</si>
  <si>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</si>
  <si>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</si>
  <si>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</si>
  <si>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</si>
  <si>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</si>
  <si>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</si>
  <si>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</si>
  <si>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</si>
  <si>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</si>
  <si>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</si>
  <si>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</si>
  <si>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</si>
  <si>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</si>
  <si>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</si>
  <si>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</si>
  <si>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</si>
  <si>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</si>
  <si>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</si>
  <si>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</si>
  <si>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</si>
  <si>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</si>
  <si>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</si>
  <si>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</si>
  <si>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</si>
  <si>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</si>
  <si>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</si>
  <si>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</si>
  <si>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</si>
  <si>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</si>
  <si>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</si>
  <si>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</si>
  <si>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</si>
  <si>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</si>
  <si>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</si>
  <si>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</si>
  <si>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</si>
  <si>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</si>
  <si>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</si>
  <si>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</si>
  <si>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</si>
  <si>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</si>
  <si>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</si>
  <si>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</si>
  <si>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</si>
  <si>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</si>
  <si>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</si>
  <si>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</si>
  <si>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</si>
  <si>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</si>
  <si>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</si>
  <si>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</si>
  <si>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</si>
  <si>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</si>
  <si>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</si>
  <si>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</si>
  <si>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</si>
  <si>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</si>
  <si>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</si>
  <si>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</si>
  <si>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</si>
  <si>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</si>
  <si>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</si>
  <si>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</si>
  <si>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</si>
  <si>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</si>
  <si>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</si>
  <si>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</si>
  <si>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</si>
  <si>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</si>
  <si>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</si>
  <si>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</si>
  <si>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</si>
  <si>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</si>
  <si>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</si>
  <si>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</si>
  <si>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</si>
  <si>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</si>
  <si>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</si>
  <si>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</si>
  <si>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</si>
  <si>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</si>
  <si>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</si>
  <si>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</si>
  <si>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</si>
  <si>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</si>
  <si>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</si>
  <si>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</si>
  <si>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</si>
  <si>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</si>
  <si>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</si>
  <si>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</si>
  <si>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</si>
  <si>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</si>
  <si>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</si>
  <si>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</si>
  <si>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</si>
  <si>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</si>
  <si>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</si>
  <si>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</si>
  <si>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</si>
  <si>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</si>
  <si>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</si>
  <si>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</si>
  <si>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</si>
  <si>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</si>
  <si>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</si>
  <si>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</si>
  <si>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</si>
  <si>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</si>
  <si>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</si>
  <si>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</si>
  <si>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</si>
  <si>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</si>
  <si>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</si>
  <si>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</si>
  <si>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</si>
  <si>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</si>
  <si>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</si>
  <si>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</si>
  <si>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</si>
  <si>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</si>
  <si>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</si>
  <si>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</si>
  <si>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</si>
  <si>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</si>
  <si>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</si>
  <si>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</si>
  <si>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</si>
  <si>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</si>
  <si>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</si>
  <si>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</si>
  <si>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</si>
  <si>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</si>
  <si>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</si>
  <si>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</si>
  <si>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</si>
  <si>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</si>
  <si>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</si>
  <si>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</si>
  <si>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</si>
  <si>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</si>
  <si>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</si>
  <si>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</si>
  <si>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</si>
  <si>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</si>
  <si>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</si>
  <si>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</si>
  <si>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</si>
  <si>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</si>
  <si>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</si>
  <si>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</si>
  <si>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</si>
  <si>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</si>
  <si>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</si>
  <si>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</si>
  <si>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</si>
  <si>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</si>
  <si>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</si>
  <si>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</si>
  <si>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</si>
  <si>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</si>
  <si>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</si>
  <si>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</si>
  <si>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</si>
  <si>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</si>
  <si>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</si>
  <si>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</si>
  <si>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</si>
  <si>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</si>
  <si>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</si>
  <si>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</si>
  <si>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</si>
  <si>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</si>
  <si>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</si>
  <si>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</si>
  <si>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</si>
  <si>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</si>
  <si>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</si>
  <si>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</si>
  <si>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</si>
  <si>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</si>
  <si>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</si>
  <si>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</si>
  <si>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</si>
  <si>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</si>
  <si>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</si>
  <si>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</si>
  <si>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</si>
  <si>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</si>
  <si>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</si>
  <si>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</si>
  <si>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</si>
  <si>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</si>
  <si>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</si>
  <si>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</si>
  <si>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</si>
  <si>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</si>
  <si>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</si>
  <si>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</si>
  <si>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</si>
  <si>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</si>
  <si>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</si>
  <si>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</si>
  <si>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</si>
  <si>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</si>
  <si>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</si>
  <si>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</si>
  <si>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</si>
  <si>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</si>
  <si>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</si>
  <si>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</si>
  <si>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</si>
  <si>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</si>
  <si>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</si>
  <si>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</si>
  <si>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</si>
  <si>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</si>
  <si>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</si>
  <si>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</si>
  <si>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</si>
  <si>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</si>
  <si>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</si>
  <si>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</si>
  <si>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</si>
  <si>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</si>
  <si>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</si>
  <si>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</si>
  <si>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</si>
  <si>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</si>
  <si>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</si>
  <si>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</si>
  <si>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</si>
  <si>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</si>
  <si>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</si>
  <si>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</si>
  <si>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</si>
  <si>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</si>
  <si>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</si>
  <si>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</si>
  <si>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</si>
  <si>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</si>
  <si>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</si>
  <si>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</si>
  <si>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</si>
  <si>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</si>
  <si>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</si>
  <si>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</si>
  <si>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</si>
  <si>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</si>
  <si>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</si>
  <si>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</si>
  <si>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</si>
  <si>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</si>
  <si>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</si>
  <si>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</si>
  <si>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</si>
  <si>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</si>
  <si>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</si>
  <si>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</si>
  <si>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</si>
  <si>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</si>
  <si>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</si>
  <si>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</si>
  <si>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</si>
  <si>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</si>
  <si>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</si>
  <si>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</si>
  <si>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</si>
  <si>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</si>
  <si>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</si>
  <si>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</si>
  <si>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</si>
  <si>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</si>
  <si>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</si>
  <si>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</si>
  <si>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</si>
  <si>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</si>
  <si>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</si>
  <si>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</si>
  <si>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</si>
  <si>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</si>
  <si>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</si>
  <si>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</si>
  <si>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</si>
  <si>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</si>
  <si>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</si>
  <si>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</si>
  <si>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</si>
  <si>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</si>
  <si>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</si>
  <si>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</si>
  <si>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</si>
  <si>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</si>
  <si>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</si>
  <si>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</si>
  <si>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</si>
  <si>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</si>
  <si>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</si>
  <si>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</si>
  <si>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</si>
  <si>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</si>
  <si>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</si>
  <si>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</si>
  <si>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</si>
  <si>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</si>
  <si>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</si>
  <si>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</si>
  <si>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</si>
  <si>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</si>
  <si>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</si>
  <si>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</si>
  <si>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</si>
  <si>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</si>
  <si>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</si>
  <si>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</si>
  <si>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</si>
  <si>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</si>
  <si>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</si>
  <si>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</si>
  <si>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</si>
  <si>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</si>
  <si>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</si>
  <si>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</si>
  <si>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</si>
  <si>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</si>
  <si>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</si>
  <si>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</si>
  <si>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</si>
  <si>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</si>
  <si>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</si>
  <si>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</si>
  <si>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</si>
  <si>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</si>
  <si>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</si>
  <si>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</si>
  <si>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</si>
  <si>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</si>
  <si>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</si>
  <si>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</si>
  <si>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</si>
  <si>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</si>
  <si>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</si>
  <si>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</si>
  <si>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</si>
  <si>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</si>
  <si>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</si>
  <si>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</si>
  <si>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</si>
  <si>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</si>
  <si>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</si>
  <si>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</si>
  <si>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</si>
  <si>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</si>
  <si>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</si>
  <si>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</si>
  <si>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</si>
  <si>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</si>
  <si>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</si>
  <si>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</si>
  <si>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</si>
  <si>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</si>
  <si>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</si>
  <si>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</si>
  <si>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</si>
  <si>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</si>
  <si>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</si>
  <si>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</si>
  <si>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</si>
  <si>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</si>
  <si>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</si>
  <si>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</si>
  <si>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</si>
  <si>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</si>
  <si>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</si>
  <si>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</si>
  <si>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</si>
  <si>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</si>
  <si>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</si>
  <si>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</si>
  <si>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</si>
  <si>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</si>
  <si>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</si>
  <si>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</si>
  <si>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</si>
  <si>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</si>
  <si>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</si>
  <si>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</si>
  <si>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</si>
  <si>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</si>
  <si>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</si>
  <si>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</si>
  <si>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</si>
  <si>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</si>
  <si>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</si>
  <si>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</si>
  <si>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</si>
  <si>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</si>
  <si>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</si>
  <si>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</si>
  <si>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</si>
  <si>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</si>
  <si>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</si>
  <si>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</si>
  <si>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</si>
  <si>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</si>
  <si>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</si>
  <si>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</si>
  <si>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</si>
  <si>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</si>
  <si>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</si>
  <si>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</si>
  <si>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</si>
  <si>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</si>
  <si>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</si>
  <si>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</si>
  <si>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</si>
  <si>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</si>
  <si>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</si>
  <si>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</si>
  <si>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</si>
  <si>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</si>
  <si>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</si>
  <si>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</si>
  <si>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</si>
  <si>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</si>
  <si>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</si>
  <si>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</si>
  <si>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</si>
  <si>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</si>
  <si>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</si>
  <si>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</si>
  <si>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</si>
  <si>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</si>
  <si>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</si>
  <si>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</si>
  <si>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</si>
  <si>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</si>
  <si>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</si>
  <si>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</si>
  <si>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</si>
  <si>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</si>
  <si>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</si>
  <si>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</si>
  <si>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</si>
  <si>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</si>
  <si>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</si>
  <si>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</si>
  <si>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</si>
  <si>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</si>
  <si>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</si>
  <si>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</si>
  <si>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</si>
  <si>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</si>
  <si>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</si>
  <si>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</si>
  <si>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</si>
  <si>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</si>
  <si>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</si>
  <si>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</si>
  <si>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</si>
  <si>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</si>
  <si>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</si>
  <si>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</si>
  <si>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</si>
  <si>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</si>
  <si>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</si>
  <si>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</si>
  <si>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</si>
  <si>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</si>
  <si>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</si>
  <si>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</si>
  <si>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</si>
  <si>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</si>
  <si>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</si>
  <si>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</si>
  <si>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</si>
  <si>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</si>
  <si>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</si>
  <si>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</si>
  <si>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</si>
  <si>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</si>
  <si>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</si>
  <si>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</si>
  <si>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</si>
  <si>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</si>
  <si>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</si>
  <si>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</si>
  <si>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</si>
  <si>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</si>
  <si>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</si>
  <si>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</si>
  <si>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</si>
  <si>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</si>
  <si>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</si>
  <si>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</si>
  <si>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</si>
  <si>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</si>
  <si>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</si>
  <si>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</si>
  <si>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</si>
  <si>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</si>
  <si>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</si>
  <si>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</si>
  <si>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</si>
  <si>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</si>
  <si>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</si>
  <si>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</si>
  <si>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</si>
  <si>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</si>
  <si>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</si>
  <si>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</si>
  <si>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</si>
  <si>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</si>
  <si>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</si>
  <si>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</si>
  <si>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</si>
  <si>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</si>
  <si>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</si>
  <si>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</si>
  <si>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</si>
  <si>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</si>
  <si>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</si>
  <si>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</si>
  <si>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</si>
  <si>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</si>
  <si>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</si>
  <si>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</si>
  <si>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</si>
  <si>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</si>
  <si>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</si>
  <si>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</si>
  <si>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</si>
  <si>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</si>
  <si>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</si>
  <si>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</si>
  <si>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</si>
  <si>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</si>
  <si>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</si>
  <si>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</si>
  <si>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</si>
  <si>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</si>
  <si>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</si>
  <si>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</si>
  <si>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</si>
  <si>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</si>
  <si>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</si>
  <si>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</si>
  <si>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</si>
  <si>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</si>
  <si>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</si>
  <si>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</si>
  <si>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</si>
  <si>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</si>
  <si>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</si>
  <si>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</si>
  <si>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</si>
  <si>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</si>
  <si>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</si>
  <si>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</si>
  <si>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</si>
  <si>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</si>
  <si>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</si>
  <si>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</si>
  <si>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</si>
  <si>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</si>
  <si>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</si>
  <si>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</si>
  <si>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</si>
  <si>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</si>
  <si>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</si>
  <si>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</si>
  <si>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</si>
  <si>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</si>
  <si>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</si>
  <si>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</si>
  <si>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</si>
  <si>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</si>
  <si>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</si>
  <si>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</si>
  <si>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</si>
  <si>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</si>
  <si>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</si>
  <si>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</si>
  <si>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</si>
  <si>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</si>
  <si>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</si>
  <si>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</si>
  <si>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</si>
  <si>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</si>
  <si>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</si>
  <si>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</si>
  <si>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</si>
  <si>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</si>
  <si>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</si>
  <si>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</si>
  <si>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</si>
  <si>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</si>
  <si>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</si>
  <si>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</si>
  <si>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</si>
  <si>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</si>
  <si>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</si>
  <si>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</si>
  <si>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</si>
  <si>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</si>
  <si>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</si>
  <si>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</si>
  <si>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</si>
  <si>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</si>
  <si>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</si>
  <si>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</si>
  <si>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</si>
  <si>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</si>
  <si>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</si>
  <si>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</si>
  <si>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</si>
  <si>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</si>
  <si>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</si>
  <si>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</si>
  <si>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</si>
  <si>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</si>
  <si>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</si>
  <si>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</si>
  <si>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</si>
  <si>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</si>
  <si>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</si>
  <si>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</si>
  <si>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</si>
  <si>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</si>
  <si>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</si>
  <si>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</si>
  <si>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</si>
  <si>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</si>
  <si>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</si>
  <si>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</si>
  <si>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</si>
  <si>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</si>
  <si>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</si>
  <si>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</si>
  <si>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</si>
  <si>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</si>
  <si>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</si>
  <si>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</si>
  <si>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</si>
  <si>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</si>
  <si>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</si>
  <si>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</si>
  <si>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</si>
  <si>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</si>
  <si>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</si>
  <si>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</si>
  <si>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</si>
  <si>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</si>
  <si>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</si>
  <si>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</si>
  <si>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</si>
  <si>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</si>
  <si>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</si>
  <si>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</si>
  <si>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</si>
  <si>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</si>
  <si>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</si>
  <si>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</si>
  <si>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</si>
  <si>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</si>
  <si>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</si>
  <si>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</si>
  <si>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</si>
  <si>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</si>
  <si>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</si>
  <si>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</si>
  <si>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</si>
  <si>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</si>
  <si>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</si>
  <si>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</si>
  <si>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</si>
  <si>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</si>
  <si>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</si>
  <si>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</si>
  <si>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</si>
  <si>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</si>
  <si>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</si>
  <si>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</si>
  <si>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</si>
  <si>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</si>
  <si>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</si>
  <si>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</si>
  <si>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</si>
  <si>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</si>
  <si>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</si>
  <si>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</si>
  <si>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</si>
  <si>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</si>
  <si>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</si>
  <si>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</si>
  <si>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</si>
  <si>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</si>
  <si>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</si>
  <si>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</si>
  <si>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</si>
  <si>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</si>
  <si>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</si>
  <si>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</si>
  <si>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</si>
  <si>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</si>
  <si>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</si>
  <si>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</si>
  <si>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</si>
  <si>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</si>
  <si>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</si>
  <si>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</si>
  <si>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</si>
  <si>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</si>
  <si>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</si>
  <si>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</si>
  <si>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</si>
  <si>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</si>
  <si>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</si>
  <si>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</si>
  <si>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</si>
  <si>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</si>
  <si>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</si>
  <si>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</si>
  <si>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</si>
  <si>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</si>
  <si>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</si>
  <si>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</si>
  <si>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</si>
  <si>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</si>
  <si>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</si>
  <si>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</si>
  <si>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</si>
  <si>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</si>
  <si>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</si>
  <si>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</si>
  <si>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</si>
  <si>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</si>
  <si>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</si>
  <si>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</si>
  <si>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</si>
  <si>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</si>
  <si>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</si>
  <si>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</si>
  <si>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</si>
  <si>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</si>
  <si>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</si>
  <si>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</si>
  <si>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</si>
  <si>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</si>
  <si>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</si>
  <si>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</si>
  <si>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</si>
  <si>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</si>
  <si>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</si>
  <si>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</si>
  <si>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</si>
  <si>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</si>
  <si>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</si>
  <si>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</si>
  <si>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</si>
  <si>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</si>
  <si>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</si>
  <si>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</si>
  <si>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</si>
  <si>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</si>
  <si>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</si>
  <si>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</si>
  <si>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</si>
  <si>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</si>
  <si>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</si>
  <si>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</si>
  <si>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</si>
  <si>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</si>
  <si>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</si>
  <si>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</si>
  <si>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</si>
  <si>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</si>
  <si>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</si>
  <si>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</si>
  <si>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</si>
  <si>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</si>
  <si>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</si>
  <si>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</si>
  <si>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</si>
  <si>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</si>
  <si>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</si>
  <si>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</si>
  <si>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</si>
  <si>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</si>
  <si>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</si>
  <si>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</si>
  <si>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</si>
  <si>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</si>
  <si>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</si>
  <si>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</si>
  <si>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</si>
  <si>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</si>
  <si>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</si>
  <si>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</si>
  <si>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</si>
  <si>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</si>
  <si>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</si>
  <si>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</si>
  <si>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</si>
  <si>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</si>
  <si>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</si>
  <si>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</si>
  <si>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</si>
  <si>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</si>
  <si>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</si>
  <si>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</si>
  <si>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</si>
  <si>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</si>
  <si>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</si>
  <si>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</si>
  <si>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</si>
  <si>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</si>
  <si>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</si>
  <si>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</si>
  <si>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</si>
  <si>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</si>
  <si>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</si>
  <si>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</si>
  <si>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</si>
  <si>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</si>
  <si>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</si>
  <si>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</si>
  <si>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</si>
  <si>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</si>
  <si>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</si>
  <si>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</si>
  <si>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</si>
  <si>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</si>
  <si>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</si>
  <si>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</si>
  <si>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</si>
  <si>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</si>
  <si>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</si>
  <si>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</si>
  <si>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</si>
  <si>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</si>
  <si>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</si>
  <si>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</si>
  <si>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</si>
  <si>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</si>
  <si>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</si>
  <si>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</si>
  <si>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</si>
  <si>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</si>
  <si>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</si>
  <si>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</si>
  <si>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</si>
  <si>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</si>
  <si>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</si>
  <si>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</si>
  <si>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</si>
  <si>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</si>
  <si>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</si>
  <si>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</si>
  <si>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</si>
  <si>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</si>
  <si>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</si>
  <si>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</si>
  <si>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</si>
  <si>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</si>
  <si>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</si>
  <si>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</si>
  <si>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</si>
  <si>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</si>
  <si>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</si>
  <si>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</si>
  <si>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</si>
  <si>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</si>
  <si>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</si>
  <si>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</si>
  <si>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</si>
  <si>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</si>
  <si>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</si>
  <si>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</si>
  <si>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</si>
  <si>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</si>
  <si>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</si>
  <si>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</si>
  <si>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</si>
  <si>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</si>
  <si>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</si>
  <si>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</si>
  <si>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</si>
  <si>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</si>
  <si>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</si>
  <si>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</si>
  <si>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</si>
  <si>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</si>
  <si>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</si>
  <si>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</si>
  <si>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</si>
  <si>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</si>
  <si>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</si>
  <si>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</si>
  <si>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</si>
  <si>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</si>
  <si>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</si>
  <si>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</si>
  <si>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</si>
  <si>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</si>
  <si>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</si>
  <si>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</si>
  <si>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</si>
  <si>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</si>
  <si>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</si>
  <si>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</si>
  <si>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</si>
  <si>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</si>
  <si>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</si>
  <si>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</si>
  <si>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</si>
  <si>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</si>
  <si>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</si>
  <si>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</si>
  <si>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</si>
  <si>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</si>
  <si>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</si>
  <si>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</si>
  <si>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</si>
  <si>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</si>
  <si>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</si>
  <si>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</si>
  <si>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</si>
  <si>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</si>
  <si>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</si>
  <si>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</si>
  <si>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</si>
  <si>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</si>
  <si>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</si>
  <si>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</si>
  <si>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</si>
  <si>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</si>
  <si>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</si>
  <si>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</si>
  <si>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</si>
  <si>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</si>
  <si>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</si>
  <si>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</si>
  <si>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</si>
  <si>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</si>
  <si>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</si>
  <si>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</si>
  <si>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</si>
  <si>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</si>
  <si>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</si>
  <si>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</si>
  <si>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</si>
  <si>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</si>
  <si>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</si>
  <si>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</si>
  <si>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</si>
  <si>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</si>
  <si>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</si>
  <si>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</si>
  <si>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</si>
  <si>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</si>
  <si>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</si>
  <si>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</si>
  <si>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</si>
  <si>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</si>
  <si>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</si>
  <si>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</si>
  <si>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</si>
  <si>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</si>
  <si>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</si>
  <si>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</si>
  <si>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</si>
  <si>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</si>
  <si>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</si>
  <si>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</si>
  <si>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</si>
  <si>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</si>
  <si>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</si>
  <si>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</si>
  <si>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</si>
  <si>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</si>
  <si>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</si>
  <si>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</si>
  <si>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</si>
  <si>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</si>
  <si>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</si>
  <si>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</si>
  <si>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</si>
  <si>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</si>
  <si>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</si>
  <si>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</si>
  <si>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</si>
  <si>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</si>
  <si>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</si>
  <si>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</si>
  <si>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</si>
  <si>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</si>
  <si>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</si>
  <si>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</si>
  <si>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</si>
  <si>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</si>
  <si>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</si>
  <si>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</si>
  <si>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</si>
  <si>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</si>
  <si>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</si>
  <si>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</si>
  <si>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</si>
  <si>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</si>
  <si>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</si>
  <si>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</si>
  <si>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</si>
  <si>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</si>
  <si>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</si>
  <si>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</si>
  <si>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</si>
  <si>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</si>
  <si>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</si>
  <si>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</si>
  <si>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</si>
  <si>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</si>
  <si>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</si>
  <si>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</si>
  <si>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</si>
  <si>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</si>
  <si>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</si>
  <si>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</si>
  <si>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</si>
  <si>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</si>
  <si>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</si>
  <si>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</si>
  <si>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</si>
  <si>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</si>
  <si>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</si>
  <si>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</si>
  <si>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</si>
  <si>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</si>
  <si>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</si>
  <si>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</si>
  <si>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</si>
  <si>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</si>
  <si>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</si>
  <si>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</si>
  <si>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</si>
  <si>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</si>
  <si>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</si>
  <si>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</si>
  <si>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</si>
  <si>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</si>
  <si>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</si>
  <si>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</si>
  <si>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</si>
  <si>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</si>
  <si>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</si>
  <si>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</si>
  <si>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</si>
  <si>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</si>
  <si>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</si>
  <si>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</si>
  <si>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</si>
  <si>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</si>
  <si>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</si>
  <si>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</si>
  <si>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</si>
  <si>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</si>
  <si>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</si>
  <si>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</si>
  <si>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</si>
  <si>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</si>
  <si>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</si>
  <si>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 請把上手的起單信件內容貼在第 7 列以下（建議貼在 A7）</t>
    <phoneticPr fontId="2" type="noConversion"/>
  </si>
  <si>
    <t>TDCC（信裡沒有時手填）</t>
    <phoneticPr fontId="2" type="noConversion"/>
  </si>
  <si>
    <t>6個月</t>
    <phoneticPr fontId="2" type="noConversion"/>
  </si>
  <si>
    <r>
      <rPr>
        <sz val="12"/>
        <color theme="1"/>
        <rFont val="Microsoft JhengHei"/>
        <family val="2"/>
      </rPr>
      <t>同</t>
    </r>
    <r>
      <rPr>
        <sz val="12"/>
        <color theme="1"/>
        <rFont val="Calibri"/>
        <family val="2"/>
      </rPr>
      <t>FCN</t>
    </r>
    <phoneticPr fontId="2" type="noConversion"/>
  </si>
  <si>
    <t>P  N</t>
    <phoneticPr fontId="2" type="noConversion"/>
  </si>
  <si>
    <t>Autocall Frequency(M)</t>
  </si>
  <si>
    <t>BNP</t>
    <phoneticPr fontId="2" type="noConversion"/>
  </si>
  <si>
    <t>Super Bull Level (%)</t>
  </si>
  <si>
    <t>HSBC</t>
    <phoneticPr fontId="2" type="noConversion"/>
  </si>
  <si>
    <t>Strike (%)</t>
  </si>
  <si>
    <t>Autocall Barrier (%)</t>
  </si>
  <si>
    <t>CA</t>
    <phoneticPr fontId="2" type="noConversion"/>
  </si>
  <si>
    <t>Guaranteed Period/Non-call
(M)</t>
  </si>
  <si>
    <t>Coupon (%)</t>
  </si>
  <si>
    <t>Note Price
 (%)</t>
  </si>
  <si>
    <t>PG Rate
(%)
必填*</t>
  </si>
  <si>
    <t>Floor Coupon(%)
◇利率型商品請留意</t>
  </si>
  <si>
    <t>Coupon (Flat)</t>
  </si>
  <si>
    <t>Issue Price (%)</t>
  </si>
  <si>
    <t xml:space="preserve">Tenor </t>
  </si>
  <si>
    <t>MS</t>
    <phoneticPr fontId="2" type="noConversion"/>
  </si>
  <si>
    <t>Put Strike (%)</t>
  </si>
  <si>
    <t>KO Step</t>
  </si>
  <si>
    <r>
      <t xml:space="preserve">TDCC = </t>
    </r>
    <r>
      <rPr>
        <sz val="11"/>
        <color rgb="FF000000"/>
        <rFont val="Calibri"/>
        <family val="2"/>
      </rPr>
      <t>037001023218</t>
    </r>
  </si>
  <si>
    <t>Please see the schedule as below. Thank you.</t>
  </si>
  <si>
    <t>Trade date: 2026/10/27</t>
  </si>
  <si>
    <t>Issue date (T+7): 2026/11/03</t>
  </si>
  <si>
    <t>Maturity date: 2033/11/03</t>
  </si>
  <si>
    <t>Capital size: USD 900K</t>
  </si>
  <si>
    <t>Risk level: RR2</t>
  </si>
  <si>
    <t>PG rate: 100%</t>
  </si>
  <si>
    <t>Tag</t>
  </si>
  <si>
    <t>Tenor (Y)</t>
  </si>
  <si>
    <t>Coupon</t>
  </si>
  <si>
    <t>Coupon frequency=Callable frequency</t>
  </si>
  <si>
    <t>Condition_1</t>
  </si>
  <si>
    <t>Call Feature</t>
  </si>
  <si>
    <t>UF</t>
  </si>
  <si>
    <t>E</t>
  </si>
  <si>
    <r>
      <t>Y1-Y7 : </t>
    </r>
    <r>
      <rPr>
        <b/>
        <sz val="12"/>
        <color rgb="FFFF0000"/>
        <rFont val="Calibri"/>
        <family val="2"/>
      </rPr>
      <t>7.2%</t>
    </r>
    <r>
      <rPr>
        <sz val="12"/>
        <color theme="1"/>
        <rFont val="Calibri"/>
        <family val="2"/>
      </rPr>
      <t> x n/N p.a</t>
    </r>
  </si>
  <si>
    <r>
      <t xml:space="preserve">USD SOFR CMS 10Y </t>
    </r>
    <r>
      <rPr>
        <sz val="12"/>
        <color theme="1"/>
        <rFont val="新細明體"/>
        <family val="1"/>
        <charset val="136"/>
      </rPr>
      <t>≦</t>
    </r>
    <r>
      <rPr>
        <sz val="12"/>
        <color theme="1"/>
        <rFont val="Calibri"/>
        <family val="2"/>
      </rPr>
      <t> </t>
    </r>
    <r>
      <rPr>
        <b/>
        <sz val="12"/>
        <color theme="1"/>
        <rFont val="Calibri"/>
        <family val="2"/>
      </rPr>
      <t>5.6%</t>
    </r>
  </si>
  <si>
    <t>NC 1Y*3M</t>
  </si>
  <si>
    <t>Call Feature *12</t>
    <phoneticPr fontId="2" type="noConversion"/>
  </si>
  <si>
    <t>100-UF</t>
    <phoneticPr fontId="2" type="noConversion"/>
  </si>
  <si>
    <t>說明</t>
    <phoneticPr fontId="2" type="noConversion"/>
  </si>
  <si>
    <t>v</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</si>
  <si>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t>
    </r>
    <phoneticPr fontId="2" type="noConversion"/>
  </si>
  <si>
    <t>Super Bull</t>
    <phoneticPr fontId="2" type="noConversion"/>
  </si>
  <si>
    <r>
      <rPr>
        <sz val="12"/>
        <color theme="1"/>
        <rFont val="細明體"/>
        <family val="2"/>
        <charset val="136"/>
      </rPr>
      <t>跟</t>
    </r>
    <r>
      <rPr>
        <sz val="12"/>
        <color theme="1"/>
        <rFont val="Calibri"/>
        <family val="2"/>
      </rPr>
      <t>FCN</t>
    </r>
    <r>
      <rPr>
        <sz val="12"/>
        <color theme="1"/>
        <rFont val="細明體"/>
        <family val="2"/>
        <charset val="136"/>
      </rPr>
      <t>相同，除了</t>
    </r>
    <r>
      <rPr>
        <sz val="12"/>
        <color theme="1"/>
        <rFont val="Calibri"/>
        <family val="2"/>
      </rPr>
      <t>E</t>
    </r>
    <r>
      <rPr>
        <sz val="12"/>
        <color theme="1"/>
        <rFont val="Microsoft JhengHei"/>
        <family val="2"/>
      </rPr>
      <t>欄必為</t>
    </r>
    <r>
      <rPr>
        <sz val="12"/>
        <color theme="1"/>
        <rFont val="Calibri"/>
        <family val="2"/>
      </rPr>
      <t>0</t>
    </r>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</si>
</sst>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64">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
      <sz val="12"/>
      <color rgb="FF000000"/>
      <name val="Calibri"/>
      <family val="2"/>
    </font>
    <font>
      <sz val="12"/>
      <color rgb="FF000000"/>
      <name val="新細明體"/>
      <family val="1"/>
      <charset val="136"/>
    </font>
    <font>
      <b/>
      <sz val="12"/>
      <color theme="1"/>
      <name val="Calibri"/>
      <family val="2"/>
    </font>
    <font>
      <sz val="12"/>
      <color theme="1"/>
      <name val="Aptos"/>
      <family val="2"/>
    </font>
    <font>
      <sz val="12"/>
      <color rgb="FFFFFF00"/>
      <name val="Calibri"/>
      <family val="2"/>
    </font>
    <font>
      <sz val="12"/>
      <color theme="1"/>
      <name val="新細明體"/>
      <family val="1"/>
      <charset val="136"/>
    </font>
    <font>
      <sz val="11"/>
      <color theme="1"/>
      <name val="Calibri"/>
      <family val="2"/>
    </font>
    <font>
      <sz val="11"/>
      <color rgb="FF000000"/>
      <name val="Calibri"/>
      <family val="2"/>
    </font>
    <font>
      <sz val="12"/>
      <color rgb="FF1F497D"/>
      <name val="Calibri"/>
      <family val="2"/>
    </font>
    <font>
      <b/>
      <sz val="12"/>
      <color rgb="FFFF0000"/>
      <name val="Calibri"/>
      <family val="2"/>
    </font>
    <font>
      <sz val="12"/>
      <color theme="1"/>
      <name val="細明體"/>
      <family val="2"/>
      <charset val="136"/>
    </font>
  </fonts>
  <fills count="25">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
      <patternFill patternType="solid">
        <fgColor rgb="FF00AC8E"/>
        <bgColor indexed="64"/>
      </patternFill>
    </fill>
    <fill>
      <patternFill patternType="solid">
        <fgColor theme="9"/>
        <bgColor theme="5" tint="0.79998168889431442"/>
      </patternFill>
    </fill>
    <fill>
      <patternFill patternType="solid">
        <fgColor theme="4" tint="0.79998168889431442"/>
        <bgColor theme="5" tint="0.79998168889431442"/>
      </patternFill>
    </fill>
    <fill>
      <patternFill patternType="solid">
        <fgColor theme="5" tint="0.39997558519241921"/>
        <bgColor theme="5" tint="0.79998168889431442"/>
      </patternFill>
    </fill>
    <fill>
      <patternFill patternType="solid">
        <fgColor theme="6" tint="0.59999389629810485"/>
        <bgColor indexed="64"/>
      </patternFill>
    </fill>
    <fill>
      <patternFill patternType="solid">
        <fgColor theme="6" tint="0.59999389629810485"/>
        <bgColor theme="4" tint="0.79998168889431442"/>
      </patternFill>
    </fill>
  </fills>
  <borders count="21">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4" tint="0.39997558519241921"/>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indexed="64"/>
      </right>
      <top/>
      <bottom style="medium">
        <color rgb="FF000000"/>
      </bottom>
      <diagonal/>
    </border>
    <border>
      <left style="medium">
        <color rgb="FF000000"/>
      </left>
      <right style="medium">
        <color indexed="64"/>
      </right>
      <top style="medium">
        <color rgb="FF000000"/>
      </top>
      <bottom/>
      <diagonal/>
    </border>
    <border>
      <left style="medium">
        <color rgb="FF000000"/>
      </left>
      <right style="medium">
        <color indexed="64"/>
      </right>
      <top/>
      <bottom style="medium">
        <color rgb="FF00000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48">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7" fillId="19" borderId="14" xfId="0" applyFont="1" applyFill="1" applyBorder="1" applyAlignment="1">
      <alignment vertical="center" wrapText="1"/>
    </xf>
    <xf numFmtId="0" fontId="0" fillId="20" borderId="0" xfId="0" applyFill="1" applyAlignment="1">
      <alignment horizontal="center" vertical="center"/>
    </xf>
    <xf numFmtId="49" fontId="0" fillId="21" borderId="0" xfId="0" quotePrefix="1" applyNumberFormat="1" applyFill="1" applyAlignment="1">
      <alignment horizontal="center" vertical="center"/>
    </xf>
    <xf numFmtId="0" fontId="0" fillId="21" borderId="0" xfId="0" applyFill="1" applyAlignment="1">
      <alignment horizontal="center" vertical="center"/>
    </xf>
    <xf numFmtId="0" fontId="0" fillId="21" borderId="2" xfId="0" applyFill="1" applyBorder="1" applyAlignment="1">
      <alignment horizontal="center" vertical="center"/>
    </xf>
    <xf numFmtId="0" fontId="5" fillId="21" borderId="0" xfId="0" applyFont="1" applyFill="1" applyAlignment="1">
      <alignment horizontal="center" vertical="center"/>
    </xf>
    <xf numFmtId="49" fontId="0" fillId="21" borderId="1" xfId="0" quotePrefix="1" applyNumberFormat="1" applyFill="1" applyBorder="1" applyAlignment="1">
      <alignment horizontal="center" vertical="center"/>
    </xf>
    <xf numFmtId="0" fontId="0" fillId="21" borderId="1" xfId="0" applyFill="1" applyBorder="1" applyAlignment="1">
      <alignment horizontal="center" vertical="center"/>
    </xf>
    <xf numFmtId="0" fontId="5" fillId="21" borderId="1" xfId="0" applyFont="1" applyFill="1" applyBorder="1" applyAlignment="1">
      <alignment horizontal="center" vertical="center"/>
    </xf>
    <xf numFmtId="0" fontId="0" fillId="22" borderId="1" xfId="0" applyFill="1" applyBorder="1" applyAlignment="1">
      <alignment horizontal="center" vertical="center"/>
    </xf>
    <xf numFmtId="0" fontId="59" fillId="0" borderId="0" xfId="0" applyFont="1">
      <alignment vertical="center"/>
    </xf>
    <xf numFmtId="0" fontId="60" fillId="0" borderId="0" xfId="0" applyFont="1">
      <alignment vertical="center"/>
    </xf>
    <xf numFmtId="0" fontId="56" fillId="0" borderId="0" xfId="0" applyFont="1">
      <alignment vertical="center"/>
    </xf>
    <xf numFmtId="0" fontId="61" fillId="0" borderId="0" xfId="0" applyFont="1">
      <alignment vertical="center"/>
    </xf>
    <xf numFmtId="0" fontId="55" fillId="0" borderId="16" xfId="0" applyFont="1" applyBorder="1" applyAlignment="1">
      <alignment horizontal="center" vertical="center" wrapText="1"/>
    </xf>
    <xf numFmtId="0" fontId="12" fillId="0" borderId="17" xfId="0" applyFont="1" applyBorder="1" applyAlignment="1">
      <alignment horizontal="center" vertical="center" wrapText="1"/>
    </xf>
    <xf numFmtId="0" fontId="5" fillId="0" borderId="15" xfId="0" applyFont="1" applyBorder="1" applyAlignment="1">
      <alignment horizontal="center" vertical="center" wrapText="1"/>
    </xf>
    <xf numFmtId="0" fontId="55" fillId="0" borderId="17" xfId="0" applyFont="1" applyBorder="1" applyAlignment="1">
      <alignment horizontal="center" vertical="center" wrapText="1"/>
    </xf>
    <xf numFmtId="0" fontId="5" fillId="0" borderId="17" xfId="0" applyFont="1" applyBorder="1" applyAlignment="1">
      <alignment horizontal="center" vertical="center" wrapText="1"/>
    </xf>
    <xf numFmtId="0" fontId="53" fillId="0" borderId="17" xfId="0" applyFont="1" applyBorder="1" applyAlignment="1">
      <alignment horizontal="center" vertical="center" wrapText="1"/>
    </xf>
    <xf numFmtId="10" fontId="55" fillId="0" borderId="18" xfId="0" applyNumberFormat="1" applyFont="1" applyBorder="1" applyAlignment="1">
      <alignment horizontal="center" vertical="center" wrapText="1"/>
    </xf>
    <xf numFmtId="0" fontId="0" fillId="23" borderId="0" xfId="0" applyFill="1">
      <alignment vertical="center"/>
    </xf>
    <xf numFmtId="0" fontId="5" fillId="23" borderId="13" xfId="1" applyFont="1" applyFill="1" applyBorder="1">
      <alignment vertical="center"/>
    </xf>
    <xf numFmtId="0" fontId="5" fillId="24" borderId="13" xfId="1" applyFont="1" applyFill="1" applyBorder="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55" fillId="0" borderId="19" xfId="0" applyFont="1" applyBorder="1" applyAlignment="1">
      <alignment horizontal="center" vertical="center" wrapText="1"/>
    </xf>
    <xf numFmtId="0" fontId="55" fillId="0" borderId="20" xfId="0" applyFont="1" applyBorder="1" applyAlignment="1">
      <alignment horizontal="center" vertical="center" wrapText="1"/>
    </xf>
    <xf numFmtId="0" fontId="55" fillId="0" borderId="5" xfId="0" applyFont="1" applyBorder="1" applyAlignment="1">
      <alignment horizontal="center" vertical="center" wrapText="1"/>
    </xf>
    <xf numFmtId="0" fontId="55" fillId="0" borderId="15" xfId="0" applyFont="1" applyBorder="1" applyAlignment="1">
      <alignment horizontal="center" vertical="center" wrapText="1"/>
    </xf>
    <xf numFmtId="0" fontId="19" fillId="0" borderId="0" xfId="2" applyFont="1" applyAlignment="1">
      <alignment horizontal="center" vertical="center"/>
    </xf>
    <xf numFmtId="0" fontId="19" fillId="7" borderId="4" xfId="2" applyFont="1" applyFill="1" applyBorder="1" applyAlignment="1">
      <alignment horizontal="center"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200-000009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200-00000A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1623</v>
      </c>
      <c r="C2" t="s">
        <v>6</v>
      </c>
      <c r="F2" t="s">
        <v>1</v>
      </c>
      <c r="G2" t="s">
        <v>1623</v>
      </c>
      <c r="H2" t="s">
        <v>5</v>
      </c>
      <c r="J2" s="1" t="s">
        <v>103</v>
      </c>
      <c r="K2" s="11" t="str">
        <f ca="1">IF(OR(Term!$A$2="Regular BEN", Term!$A$2="Digital BEN"),
    "BEN",
    Term!$A$2
) &amp; "高齡顧客適合度聲明書_" &amp; Term!$C$2 &amp; "_" &amp; Term!$B$2 &amp; "_" &amp; TEXT(TODAY(), "YYYYMMDD")</f>
        <v>高齡顧客適合度聲明書___20261029</v>
      </c>
    </row>
    <row r="3" spans="1:11">
      <c r="A3" s="1" t="s">
        <v>4</v>
      </c>
      <c r="B3" t="s">
        <v>1624</v>
      </c>
      <c r="C3" t="s">
        <v>7</v>
      </c>
      <c r="F3" t="s">
        <v>3</v>
      </c>
      <c r="G3" t="s">
        <v>1624</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境外結構型商品契約說明暨特別約定事項___20261029</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境外結構型商品承作檢核表_20261029_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zoomScaleNormal="100" workbookViewId="0">
      <selection activeCell="V2" sqref="V2"/>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36" t="s">
        <v>1604</v>
      </c>
      <c r="B4" s="137"/>
      <c r="C4" s="137"/>
      <c r="D4" s="137"/>
    </row>
    <row r="5" spans="1:22">
      <c r="A5" s="137"/>
      <c r="B5" s="137"/>
      <c r="C5" s="137"/>
      <c r="D5" s="137"/>
      <c r="M5" s="132" t="s">
        <v>1484</v>
      </c>
      <c r="N5" s="133"/>
      <c r="O5" s="87">
        <v>46324</v>
      </c>
    </row>
    <row r="6" spans="1:22">
      <c r="A6" s="101"/>
      <c r="B6" s="9"/>
      <c r="C6" s="9"/>
      <c r="D6" s="9"/>
      <c r="M6" s="132" t="s">
        <v>1477</v>
      </c>
      <c r="N6" s="133"/>
      <c r="O6" s="87">
        <v>46331</v>
      </c>
      <c r="P6" s="89" t="s">
        <v>1478</v>
      </c>
      <c r="Q6" s="90">
        <v>7</v>
      </c>
      <c r="R6" s="91" t="s">
        <v>1479</v>
      </c>
    </row>
    <row r="7" spans="1:22">
      <c r="A7" s="138" t="s">
        <v>1605</v>
      </c>
      <c r="B7" s="139"/>
      <c r="C7" s="139"/>
      <c r="D7" s="139"/>
      <c r="E7" s="139"/>
      <c r="F7" s="139"/>
      <c r="M7" s="132" t="s">
        <v>1480</v>
      </c>
      <c r="N7" s="133"/>
      <c r="O7" s="87">
        <v>46331</v>
      </c>
    </row>
    <row r="8" spans="1:22">
      <c r="A8" s="139"/>
      <c r="B8" s="139"/>
      <c r="C8" s="139"/>
      <c r="D8" s="139"/>
      <c r="E8" s="139"/>
      <c r="F8" s="139"/>
      <c r="M8" s="132" t="s">
        <v>1481</v>
      </c>
      <c r="N8" s="133"/>
      <c r="O8" s="87">
        <v>46331</v>
      </c>
    </row>
    <row r="9" spans="1:22">
      <c r="M9" s="134" t="s">
        <v>1483</v>
      </c>
      <c r="N9" s="135"/>
      <c r="O9" s="84"/>
    </row>
    <row r="10" spans="1:22">
      <c r="A10" s="131" t="s">
        <v>302</v>
      </c>
      <c r="B10" s="131"/>
      <c r="C10" s="131"/>
      <c r="D10" s="131"/>
      <c r="E10" s="131"/>
      <c r="F10" s="131"/>
      <c r="M10" s="132" t="s">
        <v>1482</v>
      </c>
      <c r="N10" s="133"/>
      <c r="O10" s="84"/>
    </row>
    <row r="11" spans="1:22">
      <c r="A11" s="131"/>
      <c r="B11" s="131"/>
      <c r="C11" s="131"/>
      <c r="D11" s="131"/>
      <c r="E11" s="131"/>
      <c r="F11" s="131"/>
    </row>
    <row r="12" spans="1:22">
      <c r="A12" s="131"/>
      <c r="B12" s="131"/>
      <c r="C12" s="131"/>
      <c r="D12" s="131"/>
      <c r="E12" s="131"/>
      <c r="F12" s="131"/>
    </row>
    <row r="14" spans="1:22">
      <c r="A14" s="131" t="s">
        <v>1534</v>
      </c>
      <c r="B14" s="131"/>
      <c r="C14" s="131"/>
      <c r="D14" s="131"/>
      <c r="E14" s="131"/>
      <c r="F14" s="131"/>
      <c r="G14" s="131"/>
      <c r="H14" s="131"/>
      <c r="M14" s="83"/>
    </row>
    <row r="15" spans="1:22">
      <c r="A15" s="131"/>
      <c r="B15" s="131"/>
      <c r="C15" s="131"/>
      <c r="D15" s="131"/>
      <c r="E15" s="131"/>
      <c r="F15" s="131"/>
      <c r="G15" s="131"/>
      <c r="H15" s="131"/>
    </row>
    <row r="16" spans="1:22">
      <c r="A16" s="131"/>
      <c r="B16" s="131"/>
      <c r="C16" s="131"/>
      <c r="D16" s="131"/>
      <c r="E16" s="131"/>
      <c r="F16" s="131"/>
      <c r="G16" s="131"/>
      <c r="H16" s="131"/>
    </row>
    <row r="17" spans="1:8" ht="15.75" customHeight="1">
      <c r="A17" s="131"/>
      <c r="B17" s="131"/>
      <c r="C17" s="131"/>
      <c r="D17" s="131"/>
      <c r="E17" s="131"/>
      <c r="F17" s="131"/>
      <c r="G17" s="131"/>
      <c r="H17" s="131"/>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A19C8-E891-4229-BBE7-02775A6B5D7E}">
  <sheetPr codeName="工作表8">
    <tabColor rgb="FF0070C0"/>
  </sheetPr>
  <dimension ref="A1:G20"/>
  <sheetViews>
    <sheetView workbookViewId="0">
      <selection activeCell="A9" sqref="A9"/>
    </sheetView>
  </sheetViews>
  <sheetFormatPr defaultRowHeight="15.75"/>
  <cols>
    <col min="1" max="1" width="28.625" customWidth="1"/>
    <col min="3" max="3" width="22.625" customWidth="1"/>
    <col min="4" max="4" width="9.5" bestFit="1" customWidth="1"/>
    <col min="23" max="24" width="13.875" bestFit="1" customWidth="1"/>
    <col min="25" max="25" width="12.5" bestFit="1" customWidth="1"/>
    <col min="26" max="26" width="11.125" bestFit="1" customWidth="1"/>
  </cols>
  <sheetData>
    <row r="1" spans="1:3" ht="18.75">
      <c r="A1" s="103" t="s">
        <v>1627</v>
      </c>
    </row>
    <row r="3" spans="1:3">
      <c r="A3" t="s">
        <v>1628</v>
      </c>
      <c r="C3" s="105"/>
    </row>
    <row r="4" spans="1:3">
      <c r="A4" t="s">
        <v>1629</v>
      </c>
    </row>
    <row r="5" spans="1:3">
      <c r="A5" t="s">
        <v>1631</v>
      </c>
      <c r="C5" s="106"/>
    </row>
    <row r="6" spans="1:3">
      <c r="A6" s="104" t="s">
        <v>1630</v>
      </c>
    </row>
    <row r="7" spans="1:3">
      <c r="A7" s="117" t="s">
        <v>1653</v>
      </c>
    </row>
    <row r="8" spans="1:3" ht="15.75" customHeight="1">
      <c r="A8" s="118" t="s">
        <v>1654</v>
      </c>
    </row>
    <row r="9" spans="1:3">
      <c r="A9" s="118"/>
    </row>
    <row r="10" spans="1:3">
      <c r="A10" s="120" t="s">
        <v>1655</v>
      </c>
    </row>
    <row r="11" spans="1:3">
      <c r="A11" s="120" t="s">
        <v>1656</v>
      </c>
    </row>
    <row r="12" spans="1:3">
      <c r="A12" s="120" t="s">
        <v>1657</v>
      </c>
    </row>
    <row r="13" spans="1:3">
      <c r="A13" s="120" t="s">
        <v>1658</v>
      </c>
    </row>
    <row r="14" spans="1:3">
      <c r="A14" s="120" t="s">
        <v>1659</v>
      </c>
    </row>
    <row r="15" spans="1:3">
      <c r="A15" s="120" t="s">
        <v>1660</v>
      </c>
    </row>
    <row r="16" spans="1:3">
      <c r="A16" s="119"/>
    </row>
    <row r="17" spans="1:7" ht="16.5" thickBot="1">
      <c r="A17" s="119"/>
    </row>
    <row r="18" spans="1:7">
      <c r="A18" s="142" t="s">
        <v>1661</v>
      </c>
      <c r="B18" s="142" t="s">
        <v>1662</v>
      </c>
      <c r="C18" s="142" t="s">
        <v>23</v>
      </c>
      <c r="D18" s="121" t="s">
        <v>1663</v>
      </c>
      <c r="E18" s="142" t="s">
        <v>1665</v>
      </c>
      <c r="F18" s="142" t="s">
        <v>1666</v>
      </c>
      <c r="G18" s="140" t="s">
        <v>1667</v>
      </c>
    </row>
    <row r="19" spans="1:7" ht="63.75" thickBot="1">
      <c r="A19" s="143"/>
      <c r="B19" s="143"/>
      <c r="C19" s="143"/>
      <c r="D19" s="122" t="s">
        <v>1664</v>
      </c>
      <c r="E19" s="143"/>
      <c r="F19" s="143"/>
      <c r="G19" s="141"/>
    </row>
    <row r="20" spans="1:7" ht="48.75" thickBot="1">
      <c r="A20" s="123" t="s">
        <v>1668</v>
      </c>
      <c r="B20" s="124">
        <v>7</v>
      </c>
      <c r="C20" s="125" t="s">
        <v>74</v>
      </c>
      <c r="D20" s="125" t="s">
        <v>1669</v>
      </c>
      <c r="E20" s="125" t="s">
        <v>1670</v>
      </c>
      <c r="F20" s="126" t="s">
        <v>1671</v>
      </c>
      <c r="G20" s="127">
        <v>4.7600000000000003E-2</v>
      </c>
    </row>
  </sheetData>
  <mergeCells count="6">
    <mergeCell ref="G18:G19"/>
    <mergeCell ref="A18:A19"/>
    <mergeCell ref="B18:B19"/>
    <mergeCell ref="C18:C19"/>
    <mergeCell ref="E18:E19"/>
    <mergeCell ref="F18:F19"/>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21" r:id="rId3" name="Button 9">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13322" r:id="rId4" name="Button 10">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C483B15-295C-4967-8BD6-1C3D649FB10A}">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1632</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6個月可提前買回（發行機構前零個月不可買回）美元計價連結利率結構型商品（無擔保）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6個月美元計價固定配息自動提前出場結構型商品（無擔保）（不保本）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6個月美元計價固定配息自動提前出場結構型商品（無擔保）（不保本）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6個月美元計價固定配息自動提前出場結構型商品（無擔保）（不保本）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6個月美元計價固定配息自動提前出場結構型商品（無擔保）（不保本）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6個月美元計價區間計息自動提前出場結構型商品（無擔保）（不保本）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6個月美元計價紅利結構型商品（無擔保）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6個月美元計價紅利結構型商品（無擔保）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6個月美元計價連結表現自動提前出場結構型商品（無擔保）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6個月美元計價自動提前出場結構型商品(無擔保)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6個月美元計價自動提前出場結構型商品(無擔保)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法國巴黎銀行6個月美元計價連結單一股票結構型商品（無擔保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法國巴黎銀行6個月美元計價連結單一股票結構型商品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法國巴黎銀行6個月美元計價發行機構可買回固定配息連結FALSE結構型商品（無擔保）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法國巴黎銀行6個月期美元計價固定配息連結單一股票結構型商品（不保本）（無擔保）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法國巴黎銀行6個月期美元計價連結單一股票結構型商品（不保本）（無擔保）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法國巴黎銀行6個月期美元計價連結單一股票結構型商品（不保本）（無擔保）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法國巴黎銀行6個月期美元計價連結單一股票結構型商品（不保本）（無擔保）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法國巴黎銀行6個月期美元計價自動提前贖回連結單一股票結構型商品（不保本）（無擔保）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法國巴黎銀行6個月美元計價發行機構可買回配息連結單一股票結構型商品（無擔保）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法國巴黎銀行6個月期美元計價逐步調降連結單一股票/交易所買賣基金結構型商品（不保本）（無擔保）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6個月美元計價（發行機構可買回）連結利率利差結構型商品（無擔保）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美元計價6個月股權連結結構型商品（無擔保）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6個月美元計價（發行機構可買回）連結FALSE結構型商品（無擔保）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6個月美元計價（發行機構可買回）連結匯率結構型商品（無擔保）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美元計價6個月區間累積配息股權連結結構型商品（不保本及無擔保）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美元計價6個月增強紅利股權連結結構型商品（不保本及無擔保）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美元計價6個月固定配息股權連結結構型商品（不保本及無擔保）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Ltd.發行6個月美元計價固定配息（自動提前出場）股票連結結構型商品（無擔保）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Ltd.發行6個月美元計價每日計息（自動提前出場）股票連結結構型商品（無擔保）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Ltd.發行6個月美元計價股權連結結構型商品（無擔保）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英商巴克萊銀行6個月美元計價連結股權記憶式自動提前出場結構型商品（無擔保及無保證機構）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英商巴克萊銀行6個月美元計價連結股權結構型商品（無擔保及無保證機構)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英商巴克萊銀行6個月美元計價連結股權結構型商品（無擔保及無保證機構)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英商巴克萊銀行6個月美元計價連結債券結構型商品（無擔保及無保證機構）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6個月美元計價連結單一連結標的並由花旗集團保證之結構型商品（無擔保）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6個月美元計價（發行機構可買回）連結單標的每日計息結構型商品（無擔保）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6個月美元計價連結單一連結標的並由花旗集團保證之固定配息結構型商品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英商摩根士丹利發行6個月期美元計價連結股票或指數股票型基金固定配息結構型商品（無保證機構）（無擔保）（不保本）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6個月期美元計價連結股票或指數股票型基金區間累積配息結構型商品（無保證機構）（無擔保）（不保本）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6個月期美元計價連結股票或指數股票型基金結構型商品（無保證機構）（無擔保）（不保本）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英商摩根士丹利發行6個月期美元計價連結股票或指數股票型基金雪球結構型商品（無保證機構）（無擔保）（不保本）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法國外貿銀行6個月美元計價固定配息（自動提前到期）連結一籃子標的結構型商品（不保本、無擔保及無保證機構）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法國外貿銀行6個月美元計價區間計息（自動提前到期）連結一籃子標的結構型商品（不保本、無擔保及無保證機構）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法國外貿銀行6個月美元紅利配息連結一籃子標的結構型商品（不保本、無擔保及無保證機構）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摩根大通6個月美元計價連結股權固定配息可自動提前出場結構型商品（無擔保）（不保本）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摩根大通6個月美元計價連結股權區間配息可自動提前出場結構型商品（無擔保）（不保本）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摩根大通6個月美元計價連結股權紅利增強結構型商品（無擔保）（不保本）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摩根大通6個月美元計價連結股權紅利結構型商品（無擔保）（不保本）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6個月高盛金融國際有限公司美元計價發行機構可買回美元利差浮動計息結構型債券（無擔保）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6個月高盛金融國際有限公司美元計價發行機構可買回FALSE連結結構型債券（無擔保）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6個月高盛金融國際有限公司美元計價發行機構可買回反向浮動式匯率上下限結構型債券（無擔保）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6個月高盛金融國際有限公司美元計價發行機構可買回區間計息結構型債券（無擔保）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6個月英商高盛國際公司美元計價固定配息自動提前出場股權連結結構型商品（無擔保）（不保本）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6個月英商高盛國際公司美元計價區間累計配息自動提前出場股權連結結構型商品（無擔保）（不保本）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香港上海滙豐銀行6個月美元計價自動提前到期固定配息股權連結（無保證機構無擔保）（不保本）結構型商品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香港上海滙豐銀行6個月美元計價自動提前到期區間累計配息股權連結（無保證機構無擔保）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香港上海滙豐銀行6個月美元計價紅利表現股權連結（無保證機構無擔保）（不保本）結構型商品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香港上海滙豐銀行6個月美元計價紅利配息股權連結（無保證機構無擔保）（不保本）結構型商品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香港上海滙豐銀行6個月美元計價自動提前到期股權連結（無保證機構無擔保）（不保本）結構型商品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6個月美元計價自動提前贖回連結一籃子股票結構型商品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1620</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1620</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1621</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1622</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46"/>
      <c r="B17" s="147"/>
      <c r="C17" s="14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1621</v>
      </c>
      <c r="J29" s="40">
        <v>113.9237</v>
      </c>
      <c r="K29" s="64">
        <f>LOOKUP($J29,$G$83:$H$87)</f>
        <v>5</v>
      </c>
      <c r="L29" s="40" t="str">
        <f>IF(RIGHT($I29,2)="UP",VLOOKUP($I29,[1]BBG_data!$B:$H,7,FALSE)/1000,IF(RIGHT($I29,2)="UQ",VLOOKUP($I29,[1]BBG_data!$B:$H,7,FALSE)/1000,"-"))</f>
        <v>-</v>
      </c>
    </row>
    <row r="30" spans="1:21">
      <c r="F30" s="20"/>
      <c r="G30" s="21" t="s">
        <v>395</v>
      </c>
      <c r="I30" s="63" t="s">
        <v>1622</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44" t="s">
        <v>399</v>
      </c>
      <c r="H35" s="144" t="s">
        <v>400</v>
      </c>
      <c r="I35" s="144" t="s">
        <v>401</v>
      </c>
      <c r="J35" s="144" t="s">
        <v>402</v>
      </c>
      <c r="K35" s="144"/>
      <c r="L35" s="144" t="s">
        <v>403</v>
      </c>
      <c r="M35" s="144"/>
      <c r="N35" s="144" t="s">
        <v>404</v>
      </c>
      <c r="O35" s="144"/>
    </row>
    <row r="36" spans="4:15">
      <c r="F36" s="20"/>
      <c r="G36" s="144"/>
      <c r="H36" s="144"/>
      <c r="I36" s="144"/>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45" t="s">
        <v>399</v>
      </c>
      <c r="H90" s="145" t="s">
        <v>400</v>
      </c>
      <c r="I90" s="145" t="s">
        <v>401</v>
      </c>
      <c r="J90" s="145" t="s">
        <v>402</v>
      </c>
      <c r="K90" s="145"/>
      <c r="L90" s="145" t="s">
        <v>403</v>
      </c>
      <c r="M90" s="145"/>
      <c r="N90" s="145" t="s">
        <v>404</v>
      </c>
      <c r="O90" s="145"/>
      <c r="P90" s="70"/>
      <c r="Q90" s="71"/>
      <c r="R90" s="71"/>
    </row>
    <row r="91" spans="5:18">
      <c r="E91" s="70"/>
      <c r="F91" s="70"/>
      <c r="G91" s="145"/>
      <c r="H91" s="145"/>
      <c r="I91" s="145"/>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A17:C17"/>
    <mergeCell ref="G35:G36"/>
    <mergeCell ref="H35:H36"/>
    <mergeCell ref="I35:I36"/>
    <mergeCell ref="J35:K35"/>
    <mergeCell ref="N35:O35"/>
    <mergeCell ref="G90:G91"/>
    <mergeCell ref="H90:H91"/>
    <mergeCell ref="I90:I91"/>
    <mergeCell ref="J90:K90"/>
    <mergeCell ref="L90:M90"/>
    <mergeCell ref="N90:O90"/>
    <mergeCell ref="L35:M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election activeCell="G23" sqref="G23"/>
    </sheetView>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1626</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1625</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88794-3DA5-4CF9-B6D3-9029EAC8A42C}">
  <sheetPr codeName="工作表9"/>
  <dimension ref="A1:V17"/>
  <sheetViews>
    <sheetView workbookViewId="0">
      <selection activeCell="C2" sqref="C2"/>
    </sheetView>
  </sheetViews>
  <sheetFormatPr defaultRowHeight="15.75"/>
  <cols>
    <col min="1" max="1" width="18.5" bestFit="1" customWidth="1"/>
    <col min="2" max="2" width="6.5" customWidth="1"/>
    <col min="3" max="3" width="6.375" bestFit="1" customWidth="1"/>
    <col min="5" max="5" width="14.5" customWidth="1"/>
    <col min="6" max="6" width="11.75" customWidth="1"/>
    <col min="7" max="7" width="12.875" customWidth="1"/>
    <col min="8" max="10" width="12.5" bestFit="1" customWidth="1"/>
    <col min="13" max="13" width="12.5" customWidth="1"/>
    <col min="14" max="14" width="12.625" bestFit="1" customWidth="1"/>
    <col min="21" max="21" width="14.5" customWidth="1"/>
    <col min="22" max="22" width="22.125" customWidth="1"/>
  </cols>
  <sheetData>
    <row r="1" spans="1:22"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c r="A2" s="14" t="s">
        <v>291</v>
      </c>
      <c r="B2" s="113" t="s">
        <v>1633</v>
      </c>
      <c r="C2" s="114"/>
      <c r="D2" s="114"/>
      <c r="E2" s="114"/>
      <c r="F2" s="114"/>
      <c r="G2" s="114"/>
      <c r="H2" s="15"/>
      <c r="I2" s="114"/>
      <c r="J2" s="114"/>
      <c r="K2" s="114"/>
      <c r="L2" s="114"/>
      <c r="M2" s="114"/>
      <c r="N2" s="114"/>
      <c r="O2" s="114"/>
      <c r="P2" s="114"/>
      <c r="Q2" s="114"/>
      <c r="R2" s="114"/>
      <c r="S2" s="114"/>
      <c r="T2" s="114"/>
      <c r="U2" s="15"/>
      <c r="V2" s="115">
        <v>0</v>
      </c>
    </row>
    <row r="3" spans="1:22" ht="16.5" thickBot="1">
      <c r="A3" s="14" t="s">
        <v>294</v>
      </c>
      <c r="B3" s="109" t="s">
        <v>22</v>
      </c>
      <c r="C3" s="110" t="s">
        <v>399</v>
      </c>
      <c r="D3" s="110" t="s">
        <v>23</v>
      </c>
      <c r="E3" s="111" t="s">
        <v>1642</v>
      </c>
      <c r="F3" s="110" t="s">
        <v>25</v>
      </c>
      <c r="G3" s="110" t="s">
        <v>26</v>
      </c>
      <c r="H3" s="110" t="s">
        <v>27</v>
      </c>
      <c r="I3" s="110" t="s">
        <v>28</v>
      </c>
      <c r="J3" s="110" t="s">
        <v>29</v>
      </c>
      <c r="K3" s="110" t="s">
        <v>30</v>
      </c>
      <c r="L3" s="110" t="s">
        <v>31</v>
      </c>
      <c r="M3" s="110" t="s">
        <v>32</v>
      </c>
      <c r="N3" s="110" t="s">
        <v>1643</v>
      </c>
      <c r="O3" s="110" t="s">
        <v>1644</v>
      </c>
      <c r="P3" s="110" t="s">
        <v>33</v>
      </c>
      <c r="Q3" s="110" t="s">
        <v>34</v>
      </c>
      <c r="R3" s="108" t="s">
        <v>35</v>
      </c>
      <c r="S3" s="108" t="s">
        <v>36</v>
      </c>
      <c r="T3" s="110" t="s">
        <v>1645</v>
      </c>
      <c r="U3" s="108" t="s">
        <v>37</v>
      </c>
      <c r="V3" s="112" t="s">
        <v>1646</v>
      </c>
    </row>
    <row r="4" spans="1:22" ht="32.25" thickBot="1">
      <c r="A4" s="14" t="s">
        <v>294</v>
      </c>
      <c r="C4" t="s">
        <v>1636</v>
      </c>
      <c r="E4" s="13" t="s">
        <v>1635</v>
      </c>
      <c r="K4" s="107" t="s">
        <v>1637</v>
      </c>
      <c r="L4" t="s">
        <v>1634</v>
      </c>
      <c r="M4" s="107" t="s">
        <v>1637</v>
      </c>
      <c r="V4">
        <v>0</v>
      </c>
    </row>
    <row r="5" spans="1:22" ht="16.5" thickBot="1">
      <c r="C5" t="s">
        <v>1638</v>
      </c>
      <c r="K5" s="107" t="s">
        <v>1639</v>
      </c>
      <c r="M5" t="s">
        <v>1640</v>
      </c>
      <c r="V5">
        <v>0</v>
      </c>
    </row>
    <row r="6" spans="1:22">
      <c r="C6" t="s">
        <v>1641</v>
      </c>
      <c r="K6" t="s">
        <v>1639</v>
      </c>
      <c r="M6" t="s">
        <v>1640</v>
      </c>
      <c r="V6">
        <v>0</v>
      </c>
    </row>
    <row r="7" spans="1:22">
      <c r="A7" s="14" t="s">
        <v>299</v>
      </c>
      <c r="B7" s="109" t="s">
        <v>22</v>
      </c>
      <c r="C7" s="110" t="s">
        <v>399</v>
      </c>
      <c r="D7" s="110" t="s">
        <v>23</v>
      </c>
      <c r="E7" s="111" t="s">
        <v>1642</v>
      </c>
      <c r="F7" s="110" t="s">
        <v>25</v>
      </c>
      <c r="G7" s="110" t="s">
        <v>26</v>
      </c>
      <c r="H7" s="110" t="s">
        <v>27</v>
      </c>
      <c r="I7" s="110" t="s">
        <v>28</v>
      </c>
      <c r="J7" s="110" t="s">
        <v>29</v>
      </c>
      <c r="K7" s="110" t="s">
        <v>30</v>
      </c>
      <c r="L7" s="110" t="s">
        <v>31</v>
      </c>
      <c r="M7" s="110" t="s">
        <v>32</v>
      </c>
      <c r="N7" s="110" t="s">
        <v>1643</v>
      </c>
      <c r="O7" s="110" t="s">
        <v>1644</v>
      </c>
      <c r="P7" s="110" t="s">
        <v>33</v>
      </c>
      <c r="Q7" s="110" t="s">
        <v>34</v>
      </c>
      <c r="R7" s="108" t="s">
        <v>35</v>
      </c>
      <c r="S7" s="108" t="s">
        <v>36</v>
      </c>
      <c r="T7" s="110" t="s">
        <v>1645</v>
      </c>
      <c r="U7" s="108" t="s">
        <v>37</v>
      </c>
      <c r="V7" s="112" t="s">
        <v>1646</v>
      </c>
    </row>
    <row r="8" spans="1:22">
      <c r="A8" s="14"/>
      <c r="C8" t="s">
        <v>1638</v>
      </c>
      <c r="E8" t="s">
        <v>1649</v>
      </c>
      <c r="K8" t="s">
        <v>1639</v>
      </c>
      <c r="L8" t="s">
        <v>1634</v>
      </c>
      <c r="M8" t="s">
        <v>1639</v>
      </c>
      <c r="N8" t="s">
        <v>1647</v>
      </c>
      <c r="O8" t="s">
        <v>1648</v>
      </c>
      <c r="P8" t="s">
        <v>1649</v>
      </c>
    </row>
    <row r="9" spans="1:22">
      <c r="A9" s="14"/>
      <c r="C9" t="s">
        <v>1641</v>
      </c>
      <c r="K9" t="s">
        <v>1651</v>
      </c>
      <c r="M9" t="s">
        <v>1651</v>
      </c>
    </row>
    <row r="10" spans="1:22">
      <c r="A10" s="14"/>
    </row>
    <row r="11" spans="1:22">
      <c r="A11" s="14" t="s">
        <v>300</v>
      </c>
      <c r="B11" s="109" t="s">
        <v>22</v>
      </c>
      <c r="C11" s="110" t="s">
        <v>399</v>
      </c>
      <c r="D11" s="110" t="s">
        <v>23</v>
      </c>
      <c r="E11" s="111" t="s">
        <v>1642</v>
      </c>
      <c r="F11" s="110" t="s">
        <v>25</v>
      </c>
      <c r="G11" s="110" t="s">
        <v>26</v>
      </c>
      <c r="H11" s="110" t="s">
        <v>27</v>
      </c>
      <c r="I11" s="110" t="s">
        <v>28</v>
      </c>
      <c r="J11" s="110" t="s">
        <v>29</v>
      </c>
      <c r="K11" s="110" t="s">
        <v>30</v>
      </c>
      <c r="L11" s="110" t="s">
        <v>31</v>
      </c>
      <c r="M11" s="110" t="s">
        <v>32</v>
      </c>
      <c r="N11" s="110" t="s">
        <v>1643</v>
      </c>
      <c r="O11" s="110" t="s">
        <v>1644</v>
      </c>
      <c r="P11" s="110" t="s">
        <v>33</v>
      </c>
      <c r="Q11" s="110" t="s">
        <v>34</v>
      </c>
      <c r="R11" s="108" t="s">
        <v>35</v>
      </c>
      <c r="S11" s="108" t="s">
        <v>36</v>
      </c>
      <c r="T11" s="110" t="s">
        <v>1645</v>
      </c>
      <c r="U11" s="108" t="s">
        <v>37</v>
      </c>
      <c r="V11" s="112" t="s">
        <v>1646</v>
      </c>
    </row>
    <row r="12" spans="1:22">
      <c r="A12" s="14"/>
      <c r="C12" t="s">
        <v>1650</v>
      </c>
      <c r="E12" t="s">
        <v>1649</v>
      </c>
      <c r="K12" t="s">
        <v>1639</v>
      </c>
      <c r="L12" t="s">
        <v>1634</v>
      </c>
      <c r="M12" t="s">
        <v>1639</v>
      </c>
      <c r="P12" t="s">
        <v>1649</v>
      </c>
    </row>
    <row r="13" spans="1:22" ht="16.5" customHeight="1">
      <c r="A13" s="14" t="s">
        <v>1586</v>
      </c>
      <c r="B13" s="113"/>
      <c r="C13" s="114"/>
      <c r="D13" s="114"/>
      <c r="E13" s="116">
        <v>0</v>
      </c>
      <c r="F13" s="114"/>
      <c r="G13" s="114"/>
      <c r="H13" s="15"/>
      <c r="I13" s="114"/>
      <c r="J13" s="114"/>
      <c r="K13" s="114"/>
      <c r="L13" s="114"/>
      <c r="M13" s="114"/>
      <c r="N13" s="114"/>
      <c r="O13" s="114"/>
      <c r="P13" s="114"/>
      <c r="Q13" s="114"/>
      <c r="R13" s="114"/>
      <c r="S13" s="114"/>
      <c r="T13" s="114"/>
      <c r="U13" s="15"/>
      <c r="V13" s="115">
        <v>0</v>
      </c>
    </row>
    <row r="14" spans="1:22">
      <c r="A14" s="14" t="s">
        <v>1578</v>
      </c>
      <c r="B14" s="113"/>
      <c r="C14" s="114"/>
      <c r="D14" s="114"/>
      <c r="E14" s="114"/>
      <c r="F14" s="114"/>
      <c r="G14" s="114"/>
      <c r="H14" s="15"/>
      <c r="I14" s="114"/>
      <c r="J14" s="114"/>
      <c r="K14" s="114"/>
      <c r="L14" s="114"/>
      <c r="M14" s="114"/>
      <c r="N14" s="114"/>
      <c r="O14" s="114"/>
      <c r="P14" s="114"/>
      <c r="Q14" s="114"/>
      <c r="R14" s="114"/>
      <c r="S14" s="114"/>
      <c r="T14" s="114"/>
      <c r="U14" s="114" t="s">
        <v>1652</v>
      </c>
      <c r="V14" s="115">
        <v>0</v>
      </c>
    </row>
    <row r="17" spans="1:22">
      <c r="A17" s="14" t="s">
        <v>290</v>
      </c>
      <c r="B17" s="128"/>
      <c r="C17" s="128"/>
      <c r="D17" s="128"/>
      <c r="E17" s="128" t="s">
        <v>1672</v>
      </c>
      <c r="F17" s="129" t="s">
        <v>197</v>
      </c>
      <c r="G17" s="130" t="s">
        <v>250</v>
      </c>
      <c r="O17" s="128" t="s">
        <v>1673</v>
      </c>
      <c r="P17" s="128"/>
      <c r="Q17" s="128" t="s">
        <v>298</v>
      </c>
      <c r="T17" s="128">
        <v>100</v>
      </c>
      <c r="V17">
        <v>0</v>
      </c>
    </row>
  </sheetData>
  <phoneticPr fontId="2" type="noConversion"/>
  <dataValidations count="1">
    <dataValidation type="list" allowBlank="1" showInputMessage="1" showErrorMessage="1" sqref="Q2:Q3 Q7:Q14 Q17" xr:uid="{6E8B0C00-4F47-4D4C-BB8D-43289976C85D}">
      <formula1>"M,Y"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1245BBB3-A98B-4430-9D9D-2FC00777215F}">
          <x14:formula1>
            <xm:f>Variable!$G$2:$G$4</xm:f>
          </x14:formula1>
          <xm:sqref>R2:R3 R7:R14 R17</xm:sqref>
        </x14:dataValidation>
        <x14:dataValidation type="list" allowBlank="1" showInputMessage="1" showErrorMessage="1" xr:uid="{B05354DE-C729-47A4-A502-F8687CF2B2FB}">
          <x14:formula1>
            <xm:f>Variable!$C$2:$C$5</xm:f>
          </x14:formula1>
          <xm:sqref>L2:L3 L7 L9:L11 L13:L14 L17</xm:sqref>
        </x14:dataValidation>
        <x14:dataValidation type="list" allowBlank="1" showInputMessage="1" showErrorMessage="1" xr:uid="{A81C439E-602A-44EE-BECB-B6EB3D96E941}">
          <x14:formula1>
            <xm:f>Variable!$E$2:$E$11</xm:f>
          </x14:formula1>
          <xm:sqref>D2:D3 D7:D14 D17</xm:sqref>
        </x14:dataValidation>
        <x14:dataValidation type="list" allowBlank="1" showInputMessage="1" showErrorMessage="1" xr:uid="{5B4B77CE-DBE5-44D0-9ACE-5B98AB07E159}">
          <x14:formula1>
            <xm:f>Variable!$D$2:$D$21</xm:f>
          </x14:formula1>
          <xm:sqref>A2:A4 A7:A14 A17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033DE-D515-4C00-8080-B7EA9D5427FA}">
  <sheetPr codeName="工作表10"/>
  <dimension ref="A1:W4"/>
  <sheetViews>
    <sheetView tabSelected="1" workbookViewId="0">
      <selection activeCell="H18" sqref="H18"/>
    </sheetView>
  </sheetViews>
  <sheetFormatPr defaultRowHeight="15.75"/>
  <cols>
    <col min="5" max="5" width="13.375" customWidth="1"/>
    <col min="22" max="22" width="16.5" customWidth="1"/>
  </cols>
  <sheetData>
    <row r="1" spans="1:23" ht="47.25">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c r="W1" s="1" t="s">
        <v>1674</v>
      </c>
    </row>
    <row r="2" spans="1:23" ht="16.5">
      <c r="A2" t="s">
        <v>1590</v>
      </c>
      <c r="B2" t="s">
        <v>1675</v>
      </c>
      <c r="C2" t="s">
        <v>1675</v>
      </c>
      <c r="D2" t="s">
        <v>1675</v>
      </c>
      <c r="E2" t="s">
        <v>1675</v>
      </c>
      <c r="F2" t="s">
        <v>1675</v>
      </c>
      <c r="G2" t="s">
        <v>1675</v>
      </c>
      <c r="H2" t="s">
        <v>1675</v>
      </c>
      <c r="I2" t="s">
        <v>1675</v>
      </c>
      <c r="J2" t="s">
        <v>1675</v>
      </c>
      <c r="K2" t="s">
        <v>1675</v>
      </c>
      <c r="L2" t="s">
        <v>1675</v>
      </c>
      <c r="M2" t="s">
        <v>1675</v>
      </c>
      <c r="N2" t="s">
        <v>1675</v>
      </c>
      <c r="O2" t="s">
        <v>1675</v>
      </c>
      <c r="P2" t="s">
        <v>1675</v>
      </c>
      <c r="Q2" t="s">
        <v>1675</v>
      </c>
      <c r="R2" t="s">
        <v>1675</v>
      </c>
      <c r="S2" t="s">
        <v>1675</v>
      </c>
      <c r="T2" t="s">
        <v>1675</v>
      </c>
      <c r="V2" t="s">
        <v>1675</v>
      </c>
      <c r="W2" t="s">
        <v>1676</v>
      </c>
    </row>
    <row r="3" spans="1:23" ht="16.5">
      <c r="A3" t="s">
        <v>1586</v>
      </c>
      <c r="B3" t="s">
        <v>1675</v>
      </c>
      <c r="C3" t="s">
        <v>1675</v>
      </c>
      <c r="D3" t="s">
        <v>1675</v>
      </c>
      <c r="E3">
        <v>0</v>
      </c>
      <c r="F3" t="s">
        <v>1675</v>
      </c>
      <c r="G3" t="s">
        <v>1675</v>
      </c>
      <c r="H3" t="s">
        <v>1675</v>
      </c>
      <c r="I3" t="s">
        <v>1675</v>
      </c>
      <c r="J3" t="s">
        <v>1675</v>
      </c>
      <c r="K3" t="s">
        <v>1675</v>
      </c>
      <c r="L3" t="s">
        <v>1675</v>
      </c>
      <c r="M3" t="s">
        <v>1675</v>
      </c>
      <c r="N3" t="s">
        <v>1675</v>
      </c>
      <c r="O3" t="s">
        <v>1675</v>
      </c>
      <c r="P3" t="s">
        <v>1675</v>
      </c>
      <c r="Q3" t="s">
        <v>1675</v>
      </c>
      <c r="R3" t="s">
        <v>1675</v>
      </c>
      <c r="S3" t="s">
        <v>1675</v>
      </c>
      <c r="T3" t="s">
        <v>1675</v>
      </c>
      <c r="V3" t="s">
        <v>1675</v>
      </c>
      <c r="W3" t="s">
        <v>1678</v>
      </c>
    </row>
    <row r="4" spans="1:23">
      <c r="A4" t="s">
        <v>1677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具名範圍</vt:lpstr>
      </vt:variant>
      <vt:variant>
        <vt:i4>1</vt:i4>
      </vt:variant>
    </vt:vector>
  </HeadingPairs>
  <TitlesOfParts>
    <vt:vector size="11" baseType="lpstr">
      <vt:lpstr>欄位</vt:lpstr>
      <vt:lpstr>Term</vt:lpstr>
      <vt:lpstr>起單回填</vt:lpstr>
      <vt:lpstr>Variable</vt:lpstr>
      <vt:lpstr>產品名稱</vt:lpstr>
      <vt:lpstr>境外結構型商品承作檢核表</vt:lpstr>
      <vt:lpstr>Underlying</vt:lpstr>
      <vt:lpstr>US Holidays</vt:lpstr>
      <vt:lpstr>工作表1</vt:lpstr>
      <vt:lpstr>起單回填規則</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2026-10-29T10:23:04Z</dcterms:modified>
</cp:coreProperties>
</file>